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Anleitung" sheetId="1" state="visible" r:id="rId1"/>
    <sheet name="01_Tarifwerk" sheetId="2" state="visible" r:id="rId2"/>
    <sheet name="02_Grundtarif" sheetId="3" state="visible" r:id="rId3"/>
    <sheet name="03_Faktoren" sheetId="4" state="visible" r:id="rId4"/>
    <sheet name="04_Regeln" sheetId="5" state="visible" r:id="rId5"/>
    <sheet name="05_Steuer" sheetId="6" state="visible" r:id="rId6"/>
    <sheet name="06_Pruefung" sheetId="7" state="visible" r:id="rId7"/>
  </sheets>
  <definedNames/>
  <calcPr calcId="124519" fullCalcOnLoad="1"/>
</workbook>
</file>

<file path=xl/styles.xml><?xml version="1.0" encoding="utf-8"?>
<styleSheet xmlns="http://schemas.openxmlformats.org/spreadsheetml/2006/main">
  <numFmts count="1">
    <numFmt numFmtId="164" formatCode="0.0000"/>
  </numFmts>
  <fonts count="11">
    <font>
      <name val="Calibri"/>
      <family val="2"/>
      <color theme="1"/>
      <sz val="11"/>
      <scheme val="minor"/>
    </font>
    <font>
      <name val="Arial"/>
      <b val="1"/>
      <color rgb="001C3B4B"/>
      <sz val="14"/>
    </font>
    <font>
      <name val="Arial"/>
      <color rgb="00444444"/>
      <sz val="9"/>
    </font>
    <font>
      <name val="Arial"/>
      <b val="1"/>
      <color rgb="001C3B4B"/>
      <sz val="11"/>
    </font>
    <font>
      <name val="Arial"/>
      <sz val="10"/>
    </font>
    <font>
      <name val="Arial"/>
      <b val="1"/>
      <sz val="10"/>
    </font>
    <font>
      <name val="Arial"/>
      <color rgb="000000FF"/>
      <sz val="10"/>
    </font>
    <font>
      <name val="Arial"/>
      <i val="1"/>
      <color rgb="00777777"/>
      <sz val="10"/>
    </font>
    <font>
      <name val="Arial"/>
      <b val="1"/>
      <color rgb="00FFFFFF"/>
      <sz val="9"/>
    </font>
    <font>
      <name val="Arial"/>
      <color rgb="00999999"/>
      <sz val="9"/>
    </font>
    <font>
      <name val="Arial"/>
      <color rgb="00777777"/>
      <sz val="9"/>
    </font>
  </fonts>
  <fills count="5">
    <fill>
      <patternFill/>
    </fill>
    <fill>
      <patternFill patternType="gray125"/>
    </fill>
    <fill>
      <patternFill patternType="solid">
        <fgColor rgb="00FFF9D6"/>
      </patternFill>
    </fill>
    <fill>
      <patternFill patternType="solid">
        <fgColor rgb="00F2F2F2"/>
      </patternFill>
    </fill>
    <fill>
      <patternFill patternType="solid">
        <fgColor rgb="001C3B4B"/>
      </patternFill>
    </fill>
  </fills>
  <borders count="3">
    <border>
      <left/>
      <right/>
      <top/>
      <bottom/>
      <diagonal/>
    </border>
    <border>
      <left style="thin">
        <color rgb="00CCCCCC"/>
      </left>
      <right style="thin">
        <color rgb="00CCCCCC"/>
      </right>
      <top style="thin">
        <color rgb="00CCCCCC"/>
      </top>
      <bottom style="thin">
        <color rgb="00CCCCCC"/>
      </bottom>
    </border>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0" pivotButton="0" quotePrefix="0" xfId="0"/>
    <xf numFmtId="0" fontId="7" fillId="3" borderId="0" pivotButton="0" quotePrefix="0" xfId="0"/>
    <xf numFmtId="0" fontId="8" fillId="4" borderId="1" applyAlignment="1" pivotButton="0" quotePrefix="0" xfId="0">
      <alignment horizontal="center" vertical="center" wrapText="1"/>
    </xf>
    <xf numFmtId="0" fontId="5" fillId="0" borderId="1" pivotButton="0" quotePrefix="0" xfId="0"/>
    <xf numFmtId="0" fontId="7" fillId="3" borderId="1" pivotButton="0" quotePrefix="0" xfId="0"/>
    <xf numFmtId="0" fontId="2" fillId="0" borderId="1" applyAlignment="1" pivotButton="0" quotePrefix="0" xfId="0">
      <alignment vertical="top" wrapText="1"/>
    </xf>
    <xf numFmtId="0" fontId="6" fillId="2" borderId="1" pivotButton="0" quotePrefix="0" xfId="0"/>
    <xf numFmtId="164" fontId="7" fillId="3" borderId="1" pivotButton="0" quotePrefix="0" xfId="0"/>
    <xf numFmtId="164" fontId="6" fillId="2" borderId="1" pivotButton="0" quotePrefix="0" xfId="0"/>
    <xf numFmtId="0" fontId="9" fillId="0" borderId="1" pivotButton="0" quotePrefix="0" xfId="0"/>
    <xf numFmtId="2" fontId="7" fillId="3" borderId="1" pivotButton="0" quotePrefix="0" xfId="0"/>
    <xf numFmtId="0" fontId="7" fillId="3" borderId="1" applyAlignment="1" pivotButton="0" quotePrefix="0" xfId="0">
      <alignment vertical="top" wrapText="1"/>
    </xf>
    <xf numFmtId="10" fontId="7" fillId="3" borderId="1" applyAlignment="1" pivotButton="0" quotePrefix="0" xfId="0">
      <alignment vertical="top" wrapText="1"/>
    </xf>
    <xf numFmtId="0" fontId="6" fillId="2" borderId="1" applyAlignment="1" pivotButton="0" quotePrefix="0" xfId="0">
      <alignment vertical="top" wrapText="1"/>
    </xf>
    <xf numFmtId="10" fontId="6" fillId="2" borderId="1" applyAlignment="1" pivotButton="0" quotePrefix="0" xfId="0">
      <alignment vertical="top" wrapText="1"/>
    </xf>
    <xf numFmtId="0" fontId="2" fillId="0" borderId="0" applyAlignment="1" pivotButton="0" quotePrefix="0" xfId="0">
      <alignment vertical="top" wrapText="1"/>
    </xf>
    <xf numFmtId="0" fontId="4" fillId="0" borderId="1" pivotButton="0" quotePrefix="0" xfId="0"/>
    <xf numFmtId="0" fontId="5"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7" fillId="3" borderId="1" applyAlignment="1" pivotButton="0" quotePrefix="0" xfId="0">
      <alignment horizontal="center" vertical="center" wrapText="1"/>
    </xf>
    <xf numFmtId="0" fontId="9" fillId="0" borderId="1" applyAlignment="1" pivotButton="0" quotePrefix="0" xfId="0">
      <alignment horizontal="center" vertical="center" wrapText="1"/>
    </xf>
    <xf numFmtId="0" fontId="6" fillId="0" borderId="2" pivotButton="0" quotePrefix="0" xfId="0"/>
    <xf numFmtId="164" fontId="6" fillId="0" borderId="2" pivotButton="0" quotePrefix="0" xfId="0"/>
    <xf numFmtId="0" fontId="9" fillId="0" borderId="2" pivotButton="0" quotePrefix="0" xfId="0"/>
    <xf numFmtId="0" fontId="0" fillId="0" borderId="2" pivotButton="0" quotePrefix="0" xfId="0"/>
    <xf numFmtId="0" fontId="2"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3"/>
  <sheetViews>
    <sheetView workbookViewId="0">
      <selection activeCell="A1" sqref="A1"/>
    </sheetView>
  </sheetViews>
  <sheetFormatPr baseColWidth="8" defaultRowHeight="15"/>
  <cols>
    <col width="4" customWidth="1" min="1" max="1"/>
    <col width="30" customWidth="1" min="2" max="2"/>
    <col width="95" customWidth="1" min="3" max="3"/>
  </cols>
  <sheetData>
    <row r="2">
      <c r="B2" s="1" t="inlineStr">
        <is>
          <t>Tarif-Import-Vorlage</t>
        </is>
      </c>
    </row>
    <row r="3">
      <c r="B3" s="2" t="inlineStr">
        <is>
          <t>Callidus Boat Intelligence Platform · Fassung 1.0 · abgeleitet aus NAUTIMA NA_015 0824, Draft Callidus Tarif 2026 und Charter Folgeschaden</t>
        </is>
      </c>
    </row>
    <row r="5">
      <c r="B5" s="3" t="inlineStr">
        <is>
          <t>Wozu diese Datei</t>
        </is>
      </c>
    </row>
    <row r="6">
      <c r="B6" s="4" t="inlineStr"/>
      <c r="C6" s="5" t="inlineStr">
        <is>
          <t>Jeder Versicherer hat sein eigenes Tarifformat. Statt für jeden einen eigenen Importer zu bauen, wird jede Quelle EINMAL in diese Vorlage übertragen. Danach ist der Weg in das System für alle Träger gleich.</t>
        </is>
      </c>
    </row>
    <row r="8">
      <c r="B8" s="3" t="inlineStr">
        <is>
          <t>Was auszufüllen ist</t>
        </is>
      </c>
    </row>
    <row r="9">
      <c r="B9" s="6" t="inlineStr">
        <is>
          <t>01_Tarifwerk</t>
        </is>
      </c>
      <c r="C9" s="5" t="inlineStr">
        <is>
          <t>Kopfdaten: Versicherer, Produkt, Sparte, Land, Gültigkeit — und die Berechnungsvorschrift. Ein Blatt je Tarifwerk.</t>
        </is>
      </c>
    </row>
    <row r="10">
      <c r="B10" s="6" t="inlineStr">
        <is>
          <t>02_Grundtarif</t>
        </is>
      </c>
      <c r="C10" s="5" t="inlineStr">
        <is>
          <t>Die eigentliche Tabelle. Eine Zeile je Merkmalskombination. Siehe Hinweis „Langformat“ unten.</t>
        </is>
      </c>
    </row>
    <row r="11">
      <c r="B11" s="6" t="inlineStr">
        <is>
          <t>03_Faktoren</t>
        </is>
      </c>
      <c r="C11" s="5" t="inlineStr">
        <is>
          <t>Zuschläge, Nachlässe, Schadenfreiheitsrabatt.</t>
        </is>
      </c>
    </row>
    <row r="12">
      <c r="B12" s="6" t="inlineStr">
        <is>
          <t>04_Regeln</t>
        </is>
      </c>
      <c r="C12" s="5" t="inlineStr">
        <is>
          <t>Mindest- und Höchstbeitrag, anfragepflichtige und nicht versicherbare Fälle.</t>
        </is>
      </c>
    </row>
    <row r="13">
      <c r="B13" s="6" t="inlineStr">
        <is>
          <t>05_Steuer</t>
        </is>
      </c>
      <c r="C13" s="5" t="inlineStr">
        <is>
          <t>Versicherungssteuersatz. NICHT die Provision — die gehört in die Vereinbarung mit dem Träger.</t>
        </is>
      </c>
    </row>
    <row r="14">
      <c r="B14" s="6" t="inlineStr">
        <is>
          <t>06_Pruefung</t>
        </is>
      </c>
      <c r="C14" s="5" t="inlineStr">
        <is>
          <t>Rechnet selbst. Nicht ausfüllen — nach dem Ausfüllen der übrigen Blätter hier nachsehen.</t>
        </is>
      </c>
    </row>
    <row r="16">
      <c r="B16" s="3" t="inlineStr">
        <is>
          <t>Farbkonvention</t>
        </is>
      </c>
    </row>
    <row r="17">
      <c r="B17" s="7" t="inlineStr">
        <is>
          <t>blaue Schrift, gelber Grund</t>
        </is>
      </c>
      <c r="C17" s="4" t="inlineStr">
        <is>
          <t>Hier tragen Sie ein.</t>
        </is>
      </c>
    </row>
    <row r="18">
      <c r="B18" s="8" t="inlineStr">
        <is>
          <t>graue Kursivschrift</t>
        </is>
      </c>
      <c r="C18" s="4" t="inlineStr">
        <is>
          <t>Beispielzeilen aus Ihren echten Tarifen. Vor dem Import löschen.</t>
        </is>
      </c>
    </row>
    <row r="19">
      <c r="B19" s="6" t="inlineStr">
        <is>
          <t>schwarz, fett</t>
        </is>
      </c>
      <c r="C19" s="4" t="inlineStr">
        <is>
          <t>Vorgabe. Nicht ändern — sonst schlägt der Import fehl.</t>
        </is>
      </c>
    </row>
    <row r="21">
      <c r="B21" s="3" t="inlineStr">
        <is>
          <t>Sechs Regeln</t>
        </is>
      </c>
    </row>
    <row r="22" ht="30" customHeight="1">
      <c r="B22" s="6" t="inlineStr">
        <is>
          <t>1. Langformat statt Matrix</t>
        </is>
      </c>
      <c r="C22" s="5" t="inlineStr">
        <is>
          <t>Ihre Tarife sind Matrizen: Versicherungssumme in den Zeilen, Selbstbehalt in den Spalten. Das lässt sich nicht allgemein importieren, weil jeder Träger andere Spalten hat. Deshalb: eine Zeile je Kombination. Aus einer 5×6-Matrix werden 30 Zeilen. Das ist mehr Tipparbeit, aber es ist der einzige Weg, der für alle Träger funktioniert.</t>
        </is>
      </c>
    </row>
    <row r="23" ht="30" customHeight="1">
      <c r="B23" s="6" t="inlineStr">
        <is>
          <t>2. Alle Werte NETTO</t>
        </is>
      </c>
      <c r="C23" s="5" t="inlineStr">
        <is>
          <t>Ohne Versicherungssteuer, ohne Provision. Der Steuersatz steht in 05_Steuer, die Provision gehört nicht in den Tarif. Achtung bei Preislisten, die Endkundenpreise nennen — diese müssen vorher zurückgerechnet werden.</t>
        </is>
      </c>
    </row>
    <row r="24" ht="30" customHeight="1">
      <c r="B24" s="6" t="inlineStr">
        <is>
          <t>3. „Nicht angeboten“ wird hingeschrieben</t>
        </is>
      </c>
      <c r="C24" s="5" t="inlineStr">
        <is>
          <t>Ein leeres Feld ist mehrdeutig: vergessen oder nicht angeboten? Deshalb trägt jede Zeile in Spalte „status“ einen Wert. Ihre NAUTIMA-Tabelle macht das bereits vorbildlich mit „–“.</t>
        </is>
      </c>
    </row>
    <row r="25" ht="30" customHeight="1">
      <c r="B25" s="6" t="inlineStr">
        <is>
          <t>4. Prozentsätze als Zahl, nicht als Text</t>
        </is>
      </c>
      <c r="C25" s="5" t="inlineStr">
        <is>
          <t>0,0065 statt „0,65 %“ und nicht „+10%“. Excel zeigt Prozent an, gespeichert wird der Faktor.</t>
        </is>
      </c>
    </row>
    <row r="26" ht="30" customHeight="1">
      <c r="B26" s="6" t="inlineStr">
        <is>
          <t>5. Keine Formeln auf andere Blätter</t>
        </is>
      </c>
      <c r="C26" s="5" t="inlineStr">
        <is>
          <t>Im Draft 2026 sind die Binnen-Werte als Formel „=Mittelmeer − 0,0005“ hinterlegt. Solche Regeln gehen beim Import verloren. Entweder die Werte ausschreiben oder die Regel in 03_Faktoren als eigenen Faktor führen.</t>
        </is>
      </c>
    </row>
    <row r="27" ht="30" customHeight="1">
      <c r="B27" s="6" t="inlineStr">
        <is>
          <t>6. Eine Quelle, ein Tarifwerk</t>
        </is>
      </c>
      <c r="C27" s="5" t="inlineStr">
        <is>
          <t>Kasko und Haftpflicht sind zwei Tarifwerke, auch wenn sie in einer Datei stehen. Ebenso Österreich und Deutschland.</t>
        </is>
      </c>
    </row>
    <row r="29">
      <c r="B29" s="3" t="inlineStr">
        <is>
          <t>Rückfrage</t>
        </is>
      </c>
    </row>
    <row r="30">
      <c r="B30" s="4" t="inlineStr"/>
      <c r="C30" s="5" t="inlineStr">
        <is>
          <t>Wo diese Vorlage Ihren Tarif nicht abbildet, bitte nicht behelfsmäßig einpassen, sondern melden. Eine fehlende Spalte ist eine Erkenntnis, kein Problem.</t>
        </is>
      </c>
    </row>
    <row r="32">
      <c r="B32" s="3" t="inlineStr">
        <is>
          <t>Hinweis zu den Prüfformeln</t>
        </is>
      </c>
    </row>
    <row r="33" ht="42" customHeight="1">
      <c r="C33" s="5" t="inlineStr">
        <is>
          <t>Die Blätter 02, 03 und 06 enthalten Formeln. Sie berechnen sich, sobald die Datei in Excel geöffnet wird — bis dahin erscheinen die Ergebniszellen leer. Das ist normal und kein Fehler. Verwendet werden ausschließlich COUNTA, COUNTIF, COUNTIFS und IF; nichts davon ist versionsabhängig.</t>
        </is>
      </c>
    </row>
  </sheetData>
  <mergeCells count="1">
    <mergeCell ref="B3:C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25"/>
  <sheetViews>
    <sheetView workbookViewId="0">
      <selection activeCell="A1" sqref="A1"/>
    </sheetView>
  </sheetViews>
  <sheetFormatPr baseColWidth="8" defaultRowHeight="15"/>
  <cols>
    <col width="4" customWidth="1" min="1" max="1"/>
    <col width="32" customWidth="1" min="2" max="2"/>
    <col width="34" customWidth="1" min="3" max="3"/>
    <col width="62" customWidth="1" min="4" max="4"/>
  </cols>
  <sheetData>
    <row r="2">
      <c r="B2" s="1" t="inlineStr">
        <is>
          <t>Kopfdaten des Tarifwerks</t>
        </is>
      </c>
    </row>
    <row r="3">
      <c r="B3" s="2" t="inlineStr">
        <is>
          <t>Ein Tarifwerk = ein Versicherer × ein Produkt × eine Sparte × ein Land × eine Fassung.</t>
        </is>
      </c>
    </row>
    <row r="5">
      <c r="B5" s="9" t="inlineStr">
        <is>
          <t>Feld</t>
        </is>
      </c>
      <c r="C5" s="9" t="inlineStr">
        <is>
          <t>Ihr Eintrag</t>
        </is>
      </c>
      <c r="D5" s="9" t="inlineStr">
        <is>
          <t>Erläuterung / zulässige Werte</t>
        </is>
      </c>
    </row>
    <row r="6" ht="15" customHeight="1">
      <c r="B6" s="10" t="inlineStr">
        <is>
          <t>versicherer</t>
        </is>
      </c>
      <c r="C6" s="11" t="inlineStr">
        <is>
          <t>Mannheimer Versicherung AG</t>
        </is>
      </c>
      <c r="D6" s="12" t="inlineStr">
        <is>
          <t>Name des Risikoträgers</t>
        </is>
      </c>
    </row>
    <row r="7" ht="15" customHeight="1">
      <c r="B7" s="10" t="inlineStr">
        <is>
          <t>versicherer_kurz</t>
        </is>
      </c>
      <c r="C7" s="11" t="inlineStr">
        <is>
          <t>MANNHEIMER</t>
        </is>
      </c>
      <c r="D7" s="12" t="inlineStr">
        <is>
          <t>Kürzel, Großbuchstaben, ohne Leerzeichen</t>
        </is>
      </c>
    </row>
    <row r="8" ht="15" customHeight="1">
      <c r="B8" s="10" t="inlineStr">
        <is>
          <t>produkt_bezeichnung</t>
        </is>
      </c>
      <c r="C8" s="11" t="inlineStr">
        <is>
          <t>NAUTIMA</t>
        </is>
      </c>
      <c r="D8" s="12" t="inlineStr">
        <is>
          <t>Produktname des Trägers</t>
        </is>
      </c>
    </row>
    <row r="9" ht="15" customHeight="1">
      <c r="B9" s="10" t="inlineStr">
        <is>
          <t>dokument_kennung</t>
        </is>
      </c>
      <c r="C9" s="11" t="inlineStr">
        <is>
          <t>NA_015 0824</t>
        </is>
      </c>
      <c r="D9" s="12" t="inlineStr">
        <is>
          <t>Kennung der Quelle, wie sie der Träger vergibt</t>
        </is>
      </c>
    </row>
    <row r="10" ht="15" customHeight="1">
      <c r="B10" s="10" t="inlineStr">
        <is>
          <t>sparte</t>
        </is>
      </c>
      <c r="C10" s="11" t="inlineStr">
        <is>
          <t>KASKO</t>
        </is>
      </c>
      <c r="D10" s="12" t="inlineStr">
        <is>
          <t>KASKO · HAFTPFLICHT · INSASSENUNFALL · ZUSATZ</t>
        </is>
      </c>
    </row>
    <row r="11" ht="15" customHeight="1">
      <c r="B11" s="10" t="inlineStr">
        <is>
          <t>land</t>
        </is>
      </c>
      <c r="C11" s="11" t="inlineStr">
        <is>
          <t>DE</t>
        </is>
      </c>
      <c r="D11" s="12" t="inlineStr">
        <is>
          <t>AT · DE</t>
        </is>
      </c>
    </row>
    <row r="12" ht="15" customHeight="1">
      <c r="B12" s="10" t="inlineStr">
        <is>
          <t>version</t>
        </is>
      </c>
      <c r="C12" s="11" t="n">
        <v>1</v>
      </c>
      <c r="D12" s="12" t="inlineStr">
        <is>
          <t>Fortlaufend je Versicherer, Produkt, Sparte und Land</t>
        </is>
      </c>
    </row>
    <row r="13" ht="15" customHeight="1">
      <c r="B13" s="10" t="inlineStr">
        <is>
          <t>gueltig_ab</t>
        </is>
      </c>
      <c r="C13" s="11" t="inlineStr">
        <is>
          <t>2024-12-01</t>
        </is>
      </c>
      <c r="D13" s="12" t="inlineStr">
        <is>
          <t>JJJJ-MM-TT</t>
        </is>
      </c>
    </row>
    <row r="14" ht="15" customHeight="1">
      <c r="B14" s="10" t="inlineStr">
        <is>
          <t>gueltig_bis</t>
        </is>
      </c>
      <c r="C14" s="13" t="inlineStr"/>
      <c r="D14" s="12" t="inlineStr">
        <is>
          <t>leer = bis auf Weiteres</t>
        </is>
      </c>
    </row>
    <row r="15" ht="26" customHeight="1">
      <c r="B15" s="10" t="inlineStr">
        <is>
          <t>berechnungsart_grundtarif</t>
        </is>
      </c>
      <c r="C15" s="11" t="inlineStr">
        <is>
          <t>SATZ_VON_VS</t>
        </is>
      </c>
      <c r="D15" s="12" t="inlineStr">
        <is>
          <t>SATZ_VON_VS = Satz × Versicherungssumme · FESTBETRAG = Betrag aus der Tabelle</t>
        </is>
      </c>
    </row>
    <row r="16" ht="26" customHeight="1">
      <c r="B16" s="10" t="inlineStr">
        <is>
          <t>verknuepfung_faktoren</t>
        </is>
      </c>
      <c r="C16" s="11" t="inlineStr">
        <is>
          <t>SALDO_ADDITIV</t>
        </is>
      </c>
      <c r="D16" s="12" t="inlineStr">
        <is>
          <t>SALDO_ADDITIV = alle Zu- und Abschläge werden zuerst saldiert, dann EINMAL angewendet (so macht es NAUTIMA) · MULTIPLIKATIV_SEQUENZIELL = nacheinander multipliziert, Reihenfolge aus 03_Faktoren</t>
        </is>
      </c>
    </row>
    <row r="17" ht="26" customHeight="1">
      <c r="B17" s="10" t="inlineStr">
        <is>
          <t>sfr_anwendung</t>
        </is>
      </c>
      <c r="C17" s="11" t="inlineStr">
        <is>
          <t>NACH_FAKTOREN</t>
        </is>
      </c>
      <c r="D17" s="12" t="inlineStr">
        <is>
          <t>NACH_FAKTOREN = Schadenfreiheitsrabatt vom Betrag inkl. Zu-/Abschlägen · KEIN_SFR</t>
        </is>
      </c>
    </row>
    <row r="18" ht="26" customHeight="1">
      <c r="B18" s="10" t="inlineStr">
        <is>
          <t>mindestbeitrag_greift</t>
        </is>
      </c>
      <c r="C18" s="11" t="inlineStr">
        <is>
          <t>AM_ENDE</t>
        </is>
      </c>
      <c r="D18" s="12" t="inlineStr">
        <is>
          <t>AM_ENDE = auch Nachlässe und SFR dürfen ihn nicht unterschreiten · VOR_NACHLAESSEN</t>
        </is>
      </c>
    </row>
    <row r="19" ht="15" customHeight="1">
      <c r="B19" s="10" t="inlineStr">
        <is>
          <t>waehrung</t>
        </is>
      </c>
      <c r="C19" s="11" t="inlineStr">
        <is>
          <t>EUR</t>
        </is>
      </c>
      <c r="D19" s="12" t="inlineStr">
        <is>
          <t>ISO-4217</t>
        </is>
      </c>
    </row>
    <row r="20" ht="15" customHeight="1">
      <c r="B20" s="10" t="inlineStr">
        <is>
          <t>quelle_datei</t>
        </is>
      </c>
      <c r="C20" s="11" t="inlineStr">
        <is>
          <t>NA_015_0824_Tarif.pdf</t>
        </is>
      </c>
      <c r="D20" s="12" t="inlineStr">
        <is>
          <t>Dateiname der Quelle, die übertragen wurde</t>
        </is>
      </c>
    </row>
    <row r="21" ht="15" customHeight="1">
      <c r="B21" s="10" t="inlineStr">
        <is>
          <t>uebertragen_von</t>
        </is>
      </c>
      <c r="C21" s="13" t="inlineStr"/>
      <c r="D21" s="12" t="inlineStr">
        <is>
          <t>Wer übertragen hat</t>
        </is>
      </c>
    </row>
    <row r="22" ht="15" customHeight="1">
      <c r="B22" s="10" t="inlineStr">
        <is>
          <t>uebertragen_am</t>
        </is>
      </c>
      <c r="C22" s="13" t="inlineStr"/>
      <c r="D22" s="12" t="inlineStr">
        <is>
          <t>JJJJ-MM-TT</t>
        </is>
      </c>
    </row>
    <row r="23" ht="15" customHeight="1">
      <c r="B23" s="10" t="inlineStr">
        <is>
          <t>geprueft_von</t>
        </is>
      </c>
      <c r="C23" s="13" t="inlineStr"/>
      <c r="D23" s="12" t="inlineStr">
        <is>
          <t>Muss eine ANDERE Person sein als „übertragen_von“</t>
        </is>
      </c>
    </row>
    <row r="25">
      <c r="B25" s="2" t="inlineStr">
        <is>
          <t>Grau = Beispiel aus Ihrer NAUTIMA-Quelle. Vor dem Import durch eigene Werte ersetzen.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4"/>
  <sheetViews>
    <sheetView workbookViewId="0">
      <pane ySplit="4" topLeftCell="A5" activePane="bottomLeft" state="frozen"/>
      <selection pane="bottomLeft" activeCell="A1" sqref="A1"/>
    </sheetView>
  </sheetViews>
  <sheetFormatPr baseColWidth="8" defaultRowHeight="15"/>
  <cols>
    <col width="13" customWidth="1" min="1" max="1"/>
    <col width="15" customWidth="1" min="2" max="2"/>
    <col width="13" customWidth="1" min="3" max="3"/>
    <col width="22" customWidth="1" min="4" max="4"/>
    <col width="11" customWidth="1" min="5" max="5"/>
    <col width="11" customWidth="1" min="6" max="6"/>
    <col width="12" customWidth="1" min="7" max="7"/>
    <col width="13" customWidth="1" min="8" max="8"/>
    <col width="13" customWidth="1" min="9" max="9"/>
    <col width="12" customWidth="1" min="10" max="10"/>
    <col width="14" customWidth="1" min="11" max="11"/>
    <col width="11" customWidth="1" min="12" max="12"/>
    <col width="15" customWidth="1" min="13" max="13"/>
    <col width="11" customWidth="1" min="14" max="14"/>
    <col width="16" customWidth="1" min="15" max="15"/>
    <col width="30" customWidth="1" min="16" max="16"/>
    <col width="12" customWidth="1" min="17" max="17"/>
  </cols>
  <sheetData>
    <row r="1">
      <c r="A1" s="1" t="inlineStr">
        <is>
          <t>Grundtarif — eine Zeile je Merkmalskombination</t>
        </is>
      </c>
    </row>
    <row r="2">
      <c r="A2" s="2" t="inlineStr">
        <is>
          <t>Nur die Spalten füllen, die für Ihre Sparte gelten. Nicht zutreffende Spalten leer lassen. Jede Zeile braucht einen status. Werte NETTO.</t>
        </is>
      </c>
    </row>
    <row r="4" ht="34" customHeight="1">
      <c r="A4" s="9" t="inlineStr">
        <is>
          <t>sparte</t>
        </is>
      </c>
      <c r="B4" s="9" t="inlineStr">
        <is>
          <t>fahrzeugart</t>
        </is>
      </c>
      <c r="C4" s="9" t="inlineStr">
        <is>
          <t>bauart</t>
        </is>
      </c>
      <c r="D4" s="9" t="inlineStr">
        <is>
          <t>fahrtgebiet</t>
        </is>
      </c>
      <c r="E4" s="9" t="inlineStr">
        <is>
          <t>vs_von</t>
        </is>
      </c>
      <c r="F4" s="9" t="inlineStr">
        <is>
          <t>vs_bis</t>
        </is>
      </c>
      <c r="G4" s="9" t="inlineStr">
        <is>
          <t>selbstbehalt</t>
        </is>
      </c>
      <c r="H4" s="9" t="inlineStr">
        <is>
          <t>motorleistung_kw_bis</t>
        </is>
      </c>
      <c r="I4" s="9" t="inlineStr">
        <is>
          <t>segelflaeche_m2_bis</t>
        </is>
      </c>
      <c r="J4" s="9" t="inlineStr">
        <is>
          <t>laenge_fuss_bis</t>
        </is>
      </c>
      <c r="K4" s="9" t="inlineStr">
        <is>
          <t>deckungssumme</t>
        </is>
      </c>
      <c r="L4" s="9" t="inlineStr">
        <is>
          <t>vermietung</t>
        </is>
      </c>
      <c r="M4" s="9" t="inlineStr">
        <is>
          <t>berechnungsart</t>
        </is>
      </c>
      <c r="N4" s="9" t="inlineStr">
        <is>
          <t>wert</t>
        </is>
      </c>
      <c r="O4" s="9" t="inlineStr">
        <is>
          <t>status</t>
        </is>
      </c>
      <c r="P4" s="9" t="inlineStr">
        <is>
          <t>schluessel</t>
        </is>
      </c>
      <c r="Q4" s="9" t="inlineStr">
        <is>
          <t>dublette</t>
        </is>
      </c>
    </row>
    <row r="5">
      <c r="A5" s="11" t="inlineStr">
        <is>
          <t>KASKO</t>
        </is>
      </c>
      <c r="B5" s="11" t="inlineStr">
        <is>
          <t>SEGELBOOT</t>
        </is>
      </c>
      <c r="C5" s="11" t="n"/>
      <c r="D5" s="11" t="inlineStr">
        <is>
          <t>MITTELMEER</t>
        </is>
      </c>
      <c r="E5" s="11" t="n">
        <v>0</v>
      </c>
      <c r="F5" s="11" t="n">
        <v>30000</v>
      </c>
      <c r="G5" s="11" t="inlineStr">
        <is>
          <t>ohne</t>
        </is>
      </c>
      <c r="H5" s="11" t="n"/>
      <c r="I5" s="11" t="n"/>
      <c r="J5" s="11" t="n"/>
      <c r="K5" s="11" t="n"/>
      <c r="L5" s="11" t="inlineStr">
        <is>
          <t>NEIN</t>
        </is>
      </c>
      <c r="M5" s="11" t="inlineStr">
        <is>
          <t>SATZ_VON_VS</t>
        </is>
      </c>
      <c r="N5" s="14" t="n"/>
      <c r="O5" s="11" t="inlineStr">
        <is>
          <t>NICHT_ANGEBOTEN</t>
        </is>
      </c>
      <c r="P5" s="11">
        <f>IF(A5="","",A5&amp;"|"&amp;B5&amp;"|"&amp;C5&amp;"|"&amp;D5&amp;"|"&amp;E5&amp;"|"&amp;F5&amp;"|"&amp;G5&amp;"|"&amp;H5&amp;"|"&amp;I5&amp;"|"&amp;J5&amp;"|"&amp;K5&amp;"|"&amp;L5)</f>
        <v/>
      </c>
      <c r="Q5" s="28">
        <f>IF(P5="","",COUNTIF($P$5:$P$134,P5))</f>
        <v/>
      </c>
    </row>
    <row r="6">
      <c r="A6" s="11" t="inlineStr">
        <is>
          <t>KASKO</t>
        </is>
      </c>
      <c r="B6" s="11" t="inlineStr">
        <is>
          <t>SEGELBOOT</t>
        </is>
      </c>
      <c r="C6" s="11" t="n"/>
      <c r="D6" s="11" t="inlineStr">
        <is>
          <t>MITTELMEER</t>
        </is>
      </c>
      <c r="E6" s="11" t="n">
        <v>0</v>
      </c>
      <c r="F6" s="11" t="n">
        <v>30000</v>
      </c>
      <c r="G6" s="11" t="n">
        <v>250</v>
      </c>
      <c r="H6" s="11" t="n"/>
      <c r="I6" s="11" t="n"/>
      <c r="J6" s="11" t="n"/>
      <c r="K6" s="11" t="n"/>
      <c r="L6" s="11" t="inlineStr">
        <is>
          <t>NEIN</t>
        </is>
      </c>
      <c r="M6" s="11" t="inlineStr">
        <is>
          <t>SATZ_VON_VS</t>
        </is>
      </c>
      <c r="N6" s="14" t="n">
        <v>0.0143</v>
      </c>
      <c r="O6" s="11" t="inlineStr">
        <is>
          <t>GILT</t>
        </is>
      </c>
      <c r="P6" s="11">
        <f>IF(A6="","",A6&amp;"|"&amp;B6&amp;"|"&amp;C6&amp;"|"&amp;D6&amp;"|"&amp;E6&amp;"|"&amp;F6&amp;"|"&amp;G6&amp;"|"&amp;H6&amp;"|"&amp;I6&amp;"|"&amp;J6&amp;"|"&amp;K6&amp;"|"&amp;L6)</f>
        <v/>
      </c>
      <c r="Q6" s="28">
        <f>IF(P6="","",COUNTIF($P$5:$P$134,P6))</f>
        <v/>
      </c>
    </row>
    <row r="7">
      <c r="A7" s="11" t="inlineStr">
        <is>
          <t>KASKO</t>
        </is>
      </c>
      <c r="B7" s="11" t="inlineStr">
        <is>
          <t>SEGELBOOT</t>
        </is>
      </c>
      <c r="C7" s="11" t="n"/>
      <c r="D7" s="11" t="inlineStr">
        <is>
          <t>MITTELMEER</t>
        </is>
      </c>
      <c r="E7" s="11" t="n">
        <v>0</v>
      </c>
      <c r="F7" s="11" t="n">
        <v>30000</v>
      </c>
      <c r="G7" s="11" t="n">
        <v>2000</v>
      </c>
      <c r="H7" s="11" t="n"/>
      <c r="I7" s="11" t="n"/>
      <c r="J7" s="11" t="n"/>
      <c r="K7" s="11" t="n"/>
      <c r="L7" s="11" t="inlineStr">
        <is>
          <t>NEIN</t>
        </is>
      </c>
      <c r="M7" s="11" t="inlineStr">
        <is>
          <t>SATZ_VON_VS</t>
        </is>
      </c>
      <c r="N7" s="14" t="n">
        <v>0.0108</v>
      </c>
      <c r="O7" s="11" t="inlineStr">
        <is>
          <t>GILT</t>
        </is>
      </c>
      <c r="P7" s="11">
        <f>IF(A7="","",A7&amp;"|"&amp;B7&amp;"|"&amp;C7&amp;"|"&amp;D7&amp;"|"&amp;E7&amp;"|"&amp;F7&amp;"|"&amp;G7&amp;"|"&amp;H7&amp;"|"&amp;I7&amp;"|"&amp;J7&amp;"|"&amp;K7&amp;"|"&amp;L7)</f>
        <v/>
      </c>
      <c r="Q7" s="28">
        <f>IF(P7="","",COUNTIF($P$5:$P$134,P7))</f>
        <v/>
      </c>
    </row>
    <row r="8">
      <c r="A8" s="11" t="inlineStr">
        <is>
          <t>KASKO</t>
        </is>
      </c>
      <c r="B8" s="11" t="inlineStr">
        <is>
          <t>MOTORBOOT</t>
        </is>
      </c>
      <c r="C8" s="11" t="n"/>
      <c r="D8" s="11" t="inlineStr">
        <is>
          <t>DE_BINNEN</t>
        </is>
      </c>
      <c r="E8" s="11" t="n">
        <v>0</v>
      </c>
      <c r="F8" s="11" t="n">
        <v>30000</v>
      </c>
      <c r="G8" s="11" t="n">
        <v>250</v>
      </c>
      <c r="H8" s="11" t="n"/>
      <c r="I8" s="11" t="n"/>
      <c r="J8" s="11" t="n"/>
      <c r="K8" s="11" t="n"/>
      <c r="L8" s="11" t="inlineStr">
        <is>
          <t>NEIN</t>
        </is>
      </c>
      <c r="M8" s="11" t="inlineStr">
        <is>
          <t>SATZ_VON_VS</t>
        </is>
      </c>
      <c r="N8" s="14" t="n">
        <v>0.011</v>
      </c>
      <c r="O8" s="11" t="inlineStr">
        <is>
          <t>GILT</t>
        </is>
      </c>
      <c r="P8" s="11">
        <f>IF(A8="","",A8&amp;"|"&amp;B8&amp;"|"&amp;C8&amp;"|"&amp;D8&amp;"|"&amp;E8&amp;"|"&amp;F8&amp;"|"&amp;G8&amp;"|"&amp;H8&amp;"|"&amp;I8&amp;"|"&amp;J8&amp;"|"&amp;K8&amp;"|"&amp;L8)</f>
        <v/>
      </c>
      <c r="Q8" s="28">
        <f>IF(P8="","",COUNTIF($P$5:$P$134,P8))</f>
        <v/>
      </c>
    </row>
    <row r="9">
      <c r="A9" s="11" t="inlineStr">
        <is>
          <t>KASKO</t>
        </is>
      </c>
      <c r="B9" s="11" t="inlineStr">
        <is>
          <t>SEGELBOOT</t>
        </is>
      </c>
      <c r="C9" s="11" t="inlineStr">
        <is>
          <t>KOMFORT</t>
        </is>
      </c>
      <c r="D9" s="11" t="inlineStr">
        <is>
          <t>AT_BINNEN</t>
        </is>
      </c>
      <c r="E9" s="11" t="n">
        <v>0</v>
      </c>
      <c r="F9" s="11" t="n">
        <v>70000</v>
      </c>
      <c r="G9" s="11" t="n">
        <v>500</v>
      </c>
      <c r="H9" s="11" t="n"/>
      <c r="I9" s="11" t="n"/>
      <c r="J9" s="11" t="n"/>
      <c r="K9" s="11" t="n"/>
      <c r="L9" s="11" t="inlineStr">
        <is>
          <t>NEIN</t>
        </is>
      </c>
      <c r="M9" s="11" t="inlineStr">
        <is>
          <t>SATZ_VON_VS</t>
        </is>
      </c>
      <c r="N9" s="14" t="n">
        <v>0.0065</v>
      </c>
      <c r="O9" s="11" t="inlineStr">
        <is>
          <t>GILT</t>
        </is>
      </c>
      <c r="P9" s="11">
        <f>IF(A9="","",A9&amp;"|"&amp;B9&amp;"|"&amp;C9&amp;"|"&amp;D9&amp;"|"&amp;E9&amp;"|"&amp;F9&amp;"|"&amp;G9&amp;"|"&amp;H9&amp;"|"&amp;I9&amp;"|"&amp;J9&amp;"|"&amp;K9&amp;"|"&amp;L9)</f>
        <v/>
      </c>
      <c r="Q9" s="28">
        <f>IF(P9="","",COUNTIF($P$5:$P$134,P9))</f>
        <v/>
      </c>
    </row>
    <row r="10">
      <c r="A10" s="11" t="inlineStr">
        <is>
          <t>KASKO</t>
        </is>
      </c>
      <c r="B10" s="11" t="inlineStr">
        <is>
          <t>SEGELBOOT</t>
        </is>
      </c>
      <c r="C10" s="11" t="inlineStr">
        <is>
          <t>KOMFORT</t>
        </is>
      </c>
      <c r="D10" s="11" t="inlineStr">
        <is>
          <t>AT_BINNEN</t>
        </is>
      </c>
      <c r="E10" s="11" t="n">
        <v>300000</v>
      </c>
      <c r="F10" s="11" t="n"/>
      <c r="G10" s="11" t="n"/>
      <c r="H10" s="11" t="n"/>
      <c r="I10" s="11" t="n"/>
      <c r="J10" s="11" t="n"/>
      <c r="K10" s="11" t="n"/>
      <c r="L10" s="11" t="inlineStr">
        <is>
          <t>NEIN</t>
        </is>
      </c>
      <c r="M10" s="11" t="inlineStr">
        <is>
          <t>SATZ_VON_VS</t>
        </is>
      </c>
      <c r="N10" s="14" t="n"/>
      <c r="O10" s="11" t="inlineStr">
        <is>
          <t>ANFRAGE</t>
        </is>
      </c>
      <c r="P10" s="11">
        <f>IF(A10="","",A10&amp;"|"&amp;B10&amp;"|"&amp;C10&amp;"|"&amp;D10&amp;"|"&amp;E10&amp;"|"&amp;F10&amp;"|"&amp;G10&amp;"|"&amp;H10&amp;"|"&amp;I10&amp;"|"&amp;J10&amp;"|"&amp;K10&amp;"|"&amp;L10)</f>
        <v/>
      </c>
      <c r="Q10" s="28">
        <f>IF(P10="","",COUNTIF($P$5:$P$134,P10))</f>
        <v/>
      </c>
    </row>
    <row r="11">
      <c r="A11" s="11" t="inlineStr">
        <is>
          <t>HAFTPFLICHT</t>
        </is>
      </c>
      <c r="B11" s="11" t="inlineStr">
        <is>
          <t>MOTORBOOT</t>
        </is>
      </c>
      <c r="C11" s="11" t="n"/>
      <c r="D11" s="11" t="n"/>
      <c r="E11" s="11" t="n"/>
      <c r="F11" s="11" t="n"/>
      <c r="G11" s="11" t="n"/>
      <c r="H11" s="11" t="n">
        <v>18.4</v>
      </c>
      <c r="I11" s="11" t="n"/>
      <c r="J11" s="11" t="n"/>
      <c r="K11" s="11" t="n">
        <v>3000000</v>
      </c>
      <c r="L11" s="11" t="inlineStr">
        <is>
          <t>NEIN</t>
        </is>
      </c>
      <c r="M11" s="11" t="inlineStr">
        <is>
          <t>FESTBETRAG</t>
        </is>
      </c>
      <c r="N11" s="14" t="n">
        <v>39.32</v>
      </c>
      <c r="O11" s="11" t="inlineStr">
        <is>
          <t>GILT</t>
        </is>
      </c>
      <c r="P11" s="11">
        <f>IF(A11="","",A11&amp;"|"&amp;B11&amp;"|"&amp;C11&amp;"|"&amp;D11&amp;"|"&amp;E11&amp;"|"&amp;F11&amp;"|"&amp;G11&amp;"|"&amp;H11&amp;"|"&amp;I11&amp;"|"&amp;J11&amp;"|"&amp;K11&amp;"|"&amp;L11)</f>
        <v/>
      </c>
      <c r="Q11" s="28">
        <f>IF(P11="","",COUNTIF($P$5:$P$134,P11))</f>
        <v/>
      </c>
    </row>
    <row r="12">
      <c r="A12" s="11" t="inlineStr">
        <is>
          <t>HAFTPFLICHT</t>
        </is>
      </c>
      <c r="B12" s="11" t="inlineStr">
        <is>
          <t>MOTORBOOT</t>
        </is>
      </c>
      <c r="C12" s="11" t="n"/>
      <c r="D12" s="11" t="n"/>
      <c r="E12" s="11" t="n"/>
      <c r="F12" s="11" t="n"/>
      <c r="G12" s="11" t="n"/>
      <c r="H12" s="11" t="n">
        <v>18.4</v>
      </c>
      <c r="I12" s="11" t="n"/>
      <c r="J12" s="11" t="n"/>
      <c r="K12" s="11" t="n">
        <v>3000000</v>
      </c>
      <c r="L12" s="11" t="inlineStr">
        <is>
          <t>JA</t>
        </is>
      </c>
      <c r="M12" s="11" t="inlineStr">
        <is>
          <t>FESTBETRAG</t>
        </is>
      </c>
      <c r="N12" s="14" t="n">
        <v>77.52</v>
      </c>
      <c r="O12" s="11" t="inlineStr">
        <is>
          <t>GILT</t>
        </is>
      </c>
      <c r="P12" s="11">
        <f>IF(A12="","",A12&amp;"|"&amp;B12&amp;"|"&amp;C12&amp;"|"&amp;D12&amp;"|"&amp;E12&amp;"|"&amp;F12&amp;"|"&amp;G12&amp;"|"&amp;H12&amp;"|"&amp;I12&amp;"|"&amp;J12&amp;"|"&amp;K12&amp;"|"&amp;L12)</f>
        <v/>
      </c>
      <c r="Q12" s="28">
        <f>IF(P12="","",COUNTIF($P$5:$P$134,P12))</f>
        <v/>
      </c>
    </row>
    <row r="13">
      <c r="A13" s="11" t="inlineStr">
        <is>
          <t>HAFTPFLICHT</t>
        </is>
      </c>
      <c r="B13" s="11" t="inlineStr">
        <is>
          <t>SEGELBOOT</t>
        </is>
      </c>
      <c r="C13" s="11" t="n"/>
      <c r="D13" s="11" t="n"/>
      <c r="E13" s="11" t="n"/>
      <c r="F13" s="11" t="n"/>
      <c r="G13" s="11" t="n"/>
      <c r="H13" s="11" t="n"/>
      <c r="I13" s="11" t="n">
        <v>50</v>
      </c>
      <c r="J13" s="11" t="n"/>
      <c r="K13" s="11" t="n">
        <v>5000000</v>
      </c>
      <c r="L13" s="11" t="inlineStr">
        <is>
          <t>NEIN</t>
        </is>
      </c>
      <c r="M13" s="11" t="inlineStr">
        <is>
          <t>FESTBETRAG</t>
        </is>
      </c>
      <c r="N13" s="14" t="n">
        <v>120</v>
      </c>
      <c r="O13" s="11" t="inlineStr">
        <is>
          <t>GILT</t>
        </is>
      </c>
      <c r="P13" s="11">
        <f>IF(A13="","",A13&amp;"|"&amp;B13&amp;"|"&amp;C13&amp;"|"&amp;D13&amp;"|"&amp;E13&amp;"|"&amp;F13&amp;"|"&amp;G13&amp;"|"&amp;H13&amp;"|"&amp;I13&amp;"|"&amp;J13&amp;"|"&amp;K13&amp;"|"&amp;L13)</f>
        <v/>
      </c>
      <c r="Q13" s="28">
        <f>IF(P13="","",COUNTIF($P$5:$P$134,P13))</f>
        <v/>
      </c>
    </row>
    <row r="14">
      <c r="A14" s="11" t="inlineStr">
        <is>
          <t>ZUSATZ</t>
        </is>
      </c>
      <c r="B14" s="11" t="inlineStr">
        <is>
          <t>SEGELBOOT</t>
        </is>
      </c>
      <c r="C14" s="11" t="n"/>
      <c r="D14" s="11" t="n"/>
      <c r="E14" s="11" t="n"/>
      <c r="F14" s="11" t="n"/>
      <c r="G14" s="11" t="n"/>
      <c r="H14" s="11" t="n"/>
      <c r="I14" s="11" t="n"/>
      <c r="J14" s="11" t="n">
        <v>33</v>
      </c>
      <c r="K14" s="11" t="n"/>
      <c r="L14" s="11" t="inlineStr">
        <is>
          <t>JA</t>
        </is>
      </c>
      <c r="M14" s="11" t="inlineStr">
        <is>
          <t>FESTBETRAG</t>
        </is>
      </c>
      <c r="N14" s="14" t="n">
        <v>81.06999999999999</v>
      </c>
      <c r="O14" s="11" t="inlineStr">
        <is>
          <t>GILT</t>
        </is>
      </c>
      <c r="P14" s="11">
        <f>IF(A14="","",A14&amp;"|"&amp;B14&amp;"|"&amp;C14&amp;"|"&amp;D14&amp;"|"&amp;E14&amp;"|"&amp;F14&amp;"|"&amp;G14&amp;"|"&amp;H14&amp;"|"&amp;I14&amp;"|"&amp;J14&amp;"|"&amp;K14&amp;"|"&amp;L14)</f>
        <v/>
      </c>
      <c r="Q14" s="28">
        <f>IF(P14="","",COUNTIF($P$5:$P$134,P14))</f>
        <v/>
      </c>
    </row>
    <row r="15">
      <c r="A15" s="13" t="n"/>
      <c r="B15" s="13" t="n"/>
      <c r="C15" s="13" t="n"/>
      <c r="D15" s="13" t="n"/>
      <c r="E15" s="13" t="n"/>
      <c r="F15" s="13" t="n"/>
      <c r="G15" s="13" t="n"/>
      <c r="H15" s="13" t="n"/>
      <c r="I15" s="13" t="n"/>
      <c r="J15" s="13" t="n"/>
      <c r="K15" s="13" t="n"/>
      <c r="L15" s="13" t="n"/>
      <c r="M15" s="13" t="n"/>
      <c r="N15" s="15" t="n"/>
      <c r="O15" s="13" t="n"/>
      <c r="P15" s="16">
        <f>IF(A15="","",A15&amp;"|"&amp;B15&amp;"|"&amp;C15&amp;"|"&amp;D15&amp;"|"&amp;E15&amp;"|"&amp;F15&amp;"|"&amp;G15&amp;"|"&amp;H15&amp;"|"&amp;I15&amp;"|"&amp;J15&amp;"|"&amp;K15&amp;"|"&amp;L15)</f>
        <v/>
      </c>
      <c r="Q15" s="29">
        <f>IF(P15="","",COUNTIF($P$5:$P$134,P15))</f>
        <v/>
      </c>
    </row>
    <row r="16">
      <c r="A16" s="13" t="n"/>
      <c r="B16" s="13" t="n"/>
      <c r="C16" s="13" t="n"/>
      <c r="D16" s="13" t="n"/>
      <c r="E16" s="13" t="n"/>
      <c r="F16" s="13" t="n"/>
      <c r="G16" s="13" t="n"/>
      <c r="H16" s="13" t="n"/>
      <c r="I16" s="13" t="n"/>
      <c r="J16" s="13" t="n"/>
      <c r="K16" s="13" t="n"/>
      <c r="L16" s="13" t="n"/>
      <c r="M16" s="13" t="n"/>
      <c r="N16" s="15" t="n"/>
      <c r="O16" s="13" t="n"/>
      <c r="P16" s="16">
        <f>IF(A16="","",A16&amp;"|"&amp;B16&amp;"|"&amp;C16&amp;"|"&amp;D16&amp;"|"&amp;E16&amp;"|"&amp;F16&amp;"|"&amp;G16&amp;"|"&amp;H16&amp;"|"&amp;I16&amp;"|"&amp;J16&amp;"|"&amp;K16&amp;"|"&amp;L16)</f>
        <v/>
      </c>
      <c r="Q16" s="29">
        <f>IF(P16="","",COUNTIF($P$5:$P$134,P16))</f>
        <v/>
      </c>
    </row>
    <row r="17">
      <c r="A17" s="13" t="n"/>
      <c r="B17" s="13" t="n"/>
      <c r="C17" s="13" t="n"/>
      <c r="D17" s="13" t="n"/>
      <c r="E17" s="13" t="n"/>
      <c r="F17" s="13" t="n"/>
      <c r="G17" s="13" t="n"/>
      <c r="H17" s="13" t="n"/>
      <c r="I17" s="13" t="n"/>
      <c r="J17" s="13" t="n"/>
      <c r="K17" s="13" t="n"/>
      <c r="L17" s="13" t="n"/>
      <c r="M17" s="13" t="n"/>
      <c r="N17" s="15" t="n"/>
      <c r="O17" s="13" t="n"/>
      <c r="P17" s="16">
        <f>IF(A17="","",A17&amp;"|"&amp;B17&amp;"|"&amp;C17&amp;"|"&amp;D17&amp;"|"&amp;E17&amp;"|"&amp;F17&amp;"|"&amp;G17&amp;"|"&amp;H17&amp;"|"&amp;I17&amp;"|"&amp;J17&amp;"|"&amp;K17&amp;"|"&amp;L17)</f>
        <v/>
      </c>
      <c r="Q17" s="29">
        <f>IF(P17="","",COUNTIF($P$5:$P$134,P17))</f>
        <v/>
      </c>
    </row>
    <row r="18">
      <c r="A18" s="13" t="n"/>
      <c r="B18" s="13" t="n"/>
      <c r="C18" s="13" t="n"/>
      <c r="D18" s="13" t="n"/>
      <c r="E18" s="13" t="n"/>
      <c r="F18" s="13" t="n"/>
      <c r="G18" s="13" t="n"/>
      <c r="H18" s="13" t="n"/>
      <c r="I18" s="13" t="n"/>
      <c r="J18" s="13" t="n"/>
      <c r="K18" s="13" t="n"/>
      <c r="L18" s="13" t="n"/>
      <c r="M18" s="13" t="n"/>
      <c r="N18" s="15" t="n"/>
      <c r="O18" s="13" t="n"/>
      <c r="P18" s="16">
        <f>IF(A18="","",A18&amp;"|"&amp;B18&amp;"|"&amp;C18&amp;"|"&amp;D18&amp;"|"&amp;E18&amp;"|"&amp;F18&amp;"|"&amp;G18&amp;"|"&amp;H18&amp;"|"&amp;I18&amp;"|"&amp;J18&amp;"|"&amp;K18&amp;"|"&amp;L18)</f>
        <v/>
      </c>
      <c r="Q18" s="29">
        <f>IF(P18="","",COUNTIF($P$5:$P$134,P18))</f>
        <v/>
      </c>
    </row>
    <row r="19">
      <c r="A19" s="13" t="n"/>
      <c r="B19" s="13" t="n"/>
      <c r="C19" s="13" t="n"/>
      <c r="D19" s="13" t="n"/>
      <c r="E19" s="13" t="n"/>
      <c r="F19" s="13" t="n"/>
      <c r="G19" s="13" t="n"/>
      <c r="H19" s="13" t="n"/>
      <c r="I19" s="13" t="n"/>
      <c r="J19" s="13" t="n"/>
      <c r="K19" s="13" t="n"/>
      <c r="L19" s="13" t="n"/>
      <c r="M19" s="13" t="n"/>
      <c r="N19" s="15" t="n"/>
      <c r="O19" s="13" t="n"/>
      <c r="P19" s="16">
        <f>IF(A19="","",A19&amp;"|"&amp;B19&amp;"|"&amp;C19&amp;"|"&amp;D19&amp;"|"&amp;E19&amp;"|"&amp;F19&amp;"|"&amp;G19&amp;"|"&amp;H19&amp;"|"&amp;I19&amp;"|"&amp;J19&amp;"|"&amp;K19&amp;"|"&amp;L19)</f>
        <v/>
      </c>
      <c r="Q19" s="29">
        <f>IF(P19="","",COUNTIF($P$5:$P$134,P19))</f>
        <v/>
      </c>
    </row>
    <row r="20">
      <c r="A20" s="13" t="n"/>
      <c r="B20" s="13" t="n"/>
      <c r="C20" s="13" t="n"/>
      <c r="D20" s="13" t="n"/>
      <c r="E20" s="13" t="n"/>
      <c r="F20" s="13" t="n"/>
      <c r="G20" s="13" t="n"/>
      <c r="H20" s="13" t="n"/>
      <c r="I20" s="13" t="n"/>
      <c r="J20" s="13" t="n"/>
      <c r="K20" s="13" t="n"/>
      <c r="L20" s="13" t="n"/>
      <c r="M20" s="13" t="n"/>
      <c r="N20" s="15" t="n"/>
      <c r="O20" s="13" t="n"/>
      <c r="P20" s="16">
        <f>IF(A20="","",A20&amp;"|"&amp;B20&amp;"|"&amp;C20&amp;"|"&amp;D20&amp;"|"&amp;E20&amp;"|"&amp;F20&amp;"|"&amp;G20&amp;"|"&amp;H20&amp;"|"&amp;I20&amp;"|"&amp;J20&amp;"|"&amp;K20&amp;"|"&amp;L20)</f>
        <v/>
      </c>
      <c r="Q20" s="29">
        <f>IF(P20="","",COUNTIF($P$5:$P$134,P20))</f>
        <v/>
      </c>
    </row>
    <row r="21">
      <c r="A21" s="13" t="n"/>
      <c r="B21" s="13" t="n"/>
      <c r="C21" s="13" t="n"/>
      <c r="D21" s="13" t="n"/>
      <c r="E21" s="13" t="n"/>
      <c r="F21" s="13" t="n"/>
      <c r="G21" s="13" t="n"/>
      <c r="H21" s="13" t="n"/>
      <c r="I21" s="13" t="n"/>
      <c r="J21" s="13" t="n"/>
      <c r="K21" s="13" t="n"/>
      <c r="L21" s="13" t="n"/>
      <c r="M21" s="13" t="n"/>
      <c r="N21" s="15" t="n"/>
      <c r="O21" s="13" t="n"/>
      <c r="P21" s="16">
        <f>IF(A21="","",A21&amp;"|"&amp;B21&amp;"|"&amp;C21&amp;"|"&amp;D21&amp;"|"&amp;E21&amp;"|"&amp;F21&amp;"|"&amp;G21&amp;"|"&amp;H21&amp;"|"&amp;I21&amp;"|"&amp;J21&amp;"|"&amp;K21&amp;"|"&amp;L21)</f>
        <v/>
      </c>
      <c r="Q21" s="29">
        <f>IF(P21="","",COUNTIF($P$5:$P$134,P21))</f>
        <v/>
      </c>
    </row>
    <row r="22">
      <c r="A22" s="13" t="n"/>
      <c r="B22" s="13" t="n"/>
      <c r="C22" s="13" t="n"/>
      <c r="D22" s="13" t="n"/>
      <c r="E22" s="13" t="n"/>
      <c r="F22" s="13" t="n"/>
      <c r="G22" s="13" t="n"/>
      <c r="H22" s="13" t="n"/>
      <c r="I22" s="13" t="n"/>
      <c r="J22" s="13" t="n"/>
      <c r="K22" s="13" t="n"/>
      <c r="L22" s="13" t="n"/>
      <c r="M22" s="13" t="n"/>
      <c r="N22" s="15" t="n"/>
      <c r="O22" s="13" t="n"/>
      <c r="P22" s="16">
        <f>IF(A22="","",A22&amp;"|"&amp;B22&amp;"|"&amp;C22&amp;"|"&amp;D22&amp;"|"&amp;E22&amp;"|"&amp;F22&amp;"|"&amp;G22&amp;"|"&amp;H22&amp;"|"&amp;I22&amp;"|"&amp;J22&amp;"|"&amp;K22&amp;"|"&amp;L22)</f>
        <v/>
      </c>
      <c r="Q22" s="29">
        <f>IF(P22="","",COUNTIF($P$5:$P$134,P22))</f>
        <v/>
      </c>
    </row>
    <row r="23">
      <c r="A23" s="13" t="n"/>
      <c r="B23" s="13" t="n"/>
      <c r="C23" s="13" t="n"/>
      <c r="D23" s="13" t="n"/>
      <c r="E23" s="13" t="n"/>
      <c r="F23" s="13" t="n"/>
      <c r="G23" s="13" t="n"/>
      <c r="H23" s="13" t="n"/>
      <c r="I23" s="13" t="n"/>
      <c r="J23" s="13" t="n"/>
      <c r="K23" s="13" t="n"/>
      <c r="L23" s="13" t="n"/>
      <c r="M23" s="13" t="n"/>
      <c r="N23" s="15" t="n"/>
      <c r="O23" s="13" t="n"/>
      <c r="P23" s="16">
        <f>IF(A23="","",A23&amp;"|"&amp;B23&amp;"|"&amp;C23&amp;"|"&amp;D23&amp;"|"&amp;E23&amp;"|"&amp;F23&amp;"|"&amp;G23&amp;"|"&amp;H23&amp;"|"&amp;I23&amp;"|"&amp;J23&amp;"|"&amp;K23&amp;"|"&amp;L23)</f>
        <v/>
      </c>
      <c r="Q23" s="29">
        <f>IF(P23="","",COUNTIF($P$5:$P$134,P23))</f>
        <v/>
      </c>
    </row>
    <row r="24">
      <c r="A24" s="13" t="n"/>
      <c r="B24" s="13" t="n"/>
      <c r="C24" s="13" t="n"/>
      <c r="D24" s="13" t="n"/>
      <c r="E24" s="13" t="n"/>
      <c r="F24" s="13" t="n"/>
      <c r="G24" s="13" t="n"/>
      <c r="H24" s="13" t="n"/>
      <c r="I24" s="13" t="n"/>
      <c r="J24" s="13" t="n"/>
      <c r="K24" s="13" t="n"/>
      <c r="L24" s="13" t="n"/>
      <c r="M24" s="13" t="n"/>
      <c r="N24" s="15" t="n"/>
      <c r="O24" s="13" t="n"/>
      <c r="P24" s="16">
        <f>IF(A24="","",A24&amp;"|"&amp;B24&amp;"|"&amp;C24&amp;"|"&amp;D24&amp;"|"&amp;E24&amp;"|"&amp;F24&amp;"|"&amp;G24&amp;"|"&amp;H24&amp;"|"&amp;I24&amp;"|"&amp;J24&amp;"|"&amp;K24&amp;"|"&amp;L24)</f>
        <v/>
      </c>
      <c r="Q24" s="29">
        <f>IF(P24="","",COUNTIF($P$5:$P$134,P24))</f>
        <v/>
      </c>
    </row>
    <row r="25">
      <c r="A25" s="13" t="n"/>
      <c r="B25" s="13" t="n"/>
      <c r="C25" s="13" t="n"/>
      <c r="D25" s="13" t="n"/>
      <c r="E25" s="13" t="n"/>
      <c r="F25" s="13" t="n"/>
      <c r="G25" s="13" t="n"/>
      <c r="H25" s="13" t="n"/>
      <c r="I25" s="13" t="n"/>
      <c r="J25" s="13" t="n"/>
      <c r="K25" s="13" t="n"/>
      <c r="L25" s="13" t="n"/>
      <c r="M25" s="13" t="n"/>
      <c r="N25" s="15" t="n"/>
      <c r="O25" s="13" t="n"/>
      <c r="P25" s="16">
        <f>IF(A25="","",A25&amp;"|"&amp;B25&amp;"|"&amp;C25&amp;"|"&amp;D25&amp;"|"&amp;E25&amp;"|"&amp;F25&amp;"|"&amp;G25&amp;"|"&amp;H25&amp;"|"&amp;I25&amp;"|"&amp;J25&amp;"|"&amp;K25&amp;"|"&amp;L25)</f>
        <v/>
      </c>
      <c r="Q25" s="29">
        <f>IF(P25="","",COUNTIF($P$5:$P$134,P25))</f>
        <v/>
      </c>
    </row>
    <row r="26">
      <c r="A26" s="13" t="n"/>
      <c r="B26" s="13" t="n"/>
      <c r="C26" s="13" t="n"/>
      <c r="D26" s="13" t="n"/>
      <c r="E26" s="13" t="n"/>
      <c r="F26" s="13" t="n"/>
      <c r="G26" s="13" t="n"/>
      <c r="H26" s="13" t="n"/>
      <c r="I26" s="13" t="n"/>
      <c r="J26" s="13" t="n"/>
      <c r="K26" s="13" t="n"/>
      <c r="L26" s="13" t="n"/>
      <c r="M26" s="13" t="n"/>
      <c r="N26" s="15" t="n"/>
      <c r="O26" s="13" t="n"/>
      <c r="P26" s="16">
        <f>IF(A26="","",A26&amp;"|"&amp;B26&amp;"|"&amp;C26&amp;"|"&amp;D26&amp;"|"&amp;E26&amp;"|"&amp;F26&amp;"|"&amp;G26&amp;"|"&amp;H26&amp;"|"&amp;I26&amp;"|"&amp;J26&amp;"|"&amp;K26&amp;"|"&amp;L26)</f>
        <v/>
      </c>
      <c r="Q26" s="29">
        <f>IF(P26="","",COUNTIF($P$5:$P$134,P26))</f>
        <v/>
      </c>
    </row>
    <row r="27">
      <c r="A27" s="13" t="n"/>
      <c r="B27" s="13" t="n"/>
      <c r="C27" s="13" t="n"/>
      <c r="D27" s="13" t="n"/>
      <c r="E27" s="13" t="n"/>
      <c r="F27" s="13" t="n"/>
      <c r="G27" s="13" t="n"/>
      <c r="H27" s="13" t="n"/>
      <c r="I27" s="13" t="n"/>
      <c r="J27" s="13" t="n"/>
      <c r="K27" s="13" t="n"/>
      <c r="L27" s="13" t="n"/>
      <c r="M27" s="13" t="n"/>
      <c r="N27" s="15" t="n"/>
      <c r="O27" s="13" t="n"/>
      <c r="P27" s="16">
        <f>IF(A27="","",A27&amp;"|"&amp;B27&amp;"|"&amp;C27&amp;"|"&amp;D27&amp;"|"&amp;E27&amp;"|"&amp;F27&amp;"|"&amp;G27&amp;"|"&amp;H27&amp;"|"&amp;I27&amp;"|"&amp;J27&amp;"|"&amp;K27&amp;"|"&amp;L27)</f>
        <v/>
      </c>
      <c r="Q27" s="29">
        <f>IF(P27="","",COUNTIF($P$5:$P$134,P27))</f>
        <v/>
      </c>
    </row>
    <row r="28">
      <c r="A28" s="13" t="n"/>
      <c r="B28" s="13" t="n"/>
      <c r="C28" s="13" t="n"/>
      <c r="D28" s="13" t="n"/>
      <c r="E28" s="13" t="n"/>
      <c r="F28" s="13" t="n"/>
      <c r="G28" s="13" t="n"/>
      <c r="H28" s="13" t="n"/>
      <c r="I28" s="13" t="n"/>
      <c r="J28" s="13" t="n"/>
      <c r="K28" s="13" t="n"/>
      <c r="L28" s="13" t="n"/>
      <c r="M28" s="13" t="n"/>
      <c r="N28" s="15" t="n"/>
      <c r="O28" s="13" t="n"/>
      <c r="P28" s="16">
        <f>IF(A28="","",A28&amp;"|"&amp;B28&amp;"|"&amp;C28&amp;"|"&amp;D28&amp;"|"&amp;E28&amp;"|"&amp;F28&amp;"|"&amp;G28&amp;"|"&amp;H28&amp;"|"&amp;I28&amp;"|"&amp;J28&amp;"|"&amp;K28&amp;"|"&amp;L28)</f>
        <v/>
      </c>
      <c r="Q28" s="29">
        <f>IF(P28="","",COUNTIF($P$5:$P$134,P28))</f>
        <v/>
      </c>
    </row>
    <row r="29">
      <c r="A29" s="13" t="n"/>
      <c r="B29" s="13" t="n"/>
      <c r="C29" s="13" t="n"/>
      <c r="D29" s="13" t="n"/>
      <c r="E29" s="13" t="n"/>
      <c r="F29" s="13" t="n"/>
      <c r="G29" s="13" t="n"/>
      <c r="H29" s="13" t="n"/>
      <c r="I29" s="13" t="n"/>
      <c r="J29" s="13" t="n"/>
      <c r="K29" s="13" t="n"/>
      <c r="L29" s="13" t="n"/>
      <c r="M29" s="13" t="n"/>
      <c r="N29" s="15" t="n"/>
      <c r="O29" s="13" t="n"/>
      <c r="P29" s="16">
        <f>IF(A29="","",A29&amp;"|"&amp;B29&amp;"|"&amp;C29&amp;"|"&amp;D29&amp;"|"&amp;E29&amp;"|"&amp;F29&amp;"|"&amp;G29&amp;"|"&amp;H29&amp;"|"&amp;I29&amp;"|"&amp;J29&amp;"|"&amp;K29&amp;"|"&amp;L29)</f>
        <v/>
      </c>
      <c r="Q29" s="29">
        <f>IF(P29="","",COUNTIF($P$5:$P$134,P29))</f>
        <v/>
      </c>
    </row>
    <row r="30">
      <c r="A30" s="13" t="n"/>
      <c r="B30" s="13" t="n"/>
      <c r="C30" s="13" t="n"/>
      <c r="D30" s="13" t="n"/>
      <c r="E30" s="13" t="n"/>
      <c r="F30" s="13" t="n"/>
      <c r="G30" s="13" t="n"/>
      <c r="H30" s="13" t="n"/>
      <c r="I30" s="13" t="n"/>
      <c r="J30" s="13" t="n"/>
      <c r="K30" s="13" t="n"/>
      <c r="L30" s="13" t="n"/>
      <c r="M30" s="13" t="n"/>
      <c r="N30" s="15" t="n"/>
      <c r="O30" s="13" t="n"/>
      <c r="P30" s="16">
        <f>IF(A30="","",A30&amp;"|"&amp;B30&amp;"|"&amp;C30&amp;"|"&amp;D30&amp;"|"&amp;E30&amp;"|"&amp;F30&amp;"|"&amp;G30&amp;"|"&amp;H30&amp;"|"&amp;I30&amp;"|"&amp;J30&amp;"|"&amp;K30&amp;"|"&amp;L30)</f>
        <v/>
      </c>
      <c r="Q30" s="29">
        <f>IF(P30="","",COUNTIF($P$5:$P$134,P30))</f>
        <v/>
      </c>
    </row>
    <row r="31">
      <c r="A31" s="13" t="n"/>
      <c r="B31" s="13" t="n"/>
      <c r="C31" s="13" t="n"/>
      <c r="D31" s="13" t="n"/>
      <c r="E31" s="13" t="n"/>
      <c r="F31" s="13" t="n"/>
      <c r="G31" s="13" t="n"/>
      <c r="H31" s="13" t="n"/>
      <c r="I31" s="13" t="n"/>
      <c r="J31" s="13" t="n"/>
      <c r="K31" s="13" t="n"/>
      <c r="L31" s="13" t="n"/>
      <c r="M31" s="13" t="n"/>
      <c r="N31" s="15" t="n"/>
      <c r="O31" s="13" t="n"/>
      <c r="P31" s="16">
        <f>IF(A31="","",A31&amp;"|"&amp;B31&amp;"|"&amp;C31&amp;"|"&amp;D31&amp;"|"&amp;E31&amp;"|"&amp;F31&amp;"|"&amp;G31&amp;"|"&amp;H31&amp;"|"&amp;I31&amp;"|"&amp;J31&amp;"|"&amp;K31&amp;"|"&amp;L31)</f>
        <v/>
      </c>
      <c r="Q31" s="29">
        <f>IF(P31="","",COUNTIF($P$5:$P$134,P31))</f>
        <v/>
      </c>
    </row>
    <row r="32">
      <c r="A32" s="13" t="n"/>
      <c r="B32" s="13" t="n"/>
      <c r="C32" s="13" t="n"/>
      <c r="D32" s="13" t="n"/>
      <c r="E32" s="13" t="n"/>
      <c r="F32" s="13" t="n"/>
      <c r="G32" s="13" t="n"/>
      <c r="H32" s="13" t="n"/>
      <c r="I32" s="13" t="n"/>
      <c r="J32" s="13" t="n"/>
      <c r="K32" s="13" t="n"/>
      <c r="L32" s="13" t="n"/>
      <c r="M32" s="13" t="n"/>
      <c r="N32" s="15" t="n"/>
      <c r="O32" s="13" t="n"/>
      <c r="P32" s="16">
        <f>IF(A32="","",A32&amp;"|"&amp;B32&amp;"|"&amp;C32&amp;"|"&amp;D32&amp;"|"&amp;E32&amp;"|"&amp;F32&amp;"|"&amp;G32&amp;"|"&amp;H32&amp;"|"&amp;I32&amp;"|"&amp;J32&amp;"|"&amp;K32&amp;"|"&amp;L32)</f>
        <v/>
      </c>
      <c r="Q32" s="29">
        <f>IF(P32="","",COUNTIF($P$5:$P$134,P32))</f>
        <v/>
      </c>
    </row>
    <row r="33">
      <c r="A33" s="13" t="n"/>
      <c r="B33" s="13" t="n"/>
      <c r="C33" s="13" t="n"/>
      <c r="D33" s="13" t="n"/>
      <c r="E33" s="13" t="n"/>
      <c r="F33" s="13" t="n"/>
      <c r="G33" s="13" t="n"/>
      <c r="H33" s="13" t="n"/>
      <c r="I33" s="13" t="n"/>
      <c r="J33" s="13" t="n"/>
      <c r="K33" s="13" t="n"/>
      <c r="L33" s="13" t="n"/>
      <c r="M33" s="13" t="n"/>
      <c r="N33" s="15" t="n"/>
      <c r="O33" s="13" t="n"/>
      <c r="P33" s="16">
        <f>IF(A33="","",A33&amp;"|"&amp;B33&amp;"|"&amp;C33&amp;"|"&amp;D33&amp;"|"&amp;E33&amp;"|"&amp;F33&amp;"|"&amp;G33&amp;"|"&amp;H33&amp;"|"&amp;I33&amp;"|"&amp;J33&amp;"|"&amp;K33&amp;"|"&amp;L33)</f>
        <v/>
      </c>
      <c r="Q33" s="29">
        <f>IF(P33="","",COUNTIF($P$5:$P$134,P33))</f>
        <v/>
      </c>
    </row>
    <row r="34">
      <c r="A34" s="13" t="n"/>
      <c r="B34" s="13" t="n"/>
      <c r="C34" s="13" t="n"/>
      <c r="D34" s="13" t="n"/>
      <c r="E34" s="13" t="n"/>
      <c r="F34" s="13" t="n"/>
      <c r="G34" s="13" t="n"/>
      <c r="H34" s="13" t="n"/>
      <c r="I34" s="13" t="n"/>
      <c r="J34" s="13" t="n"/>
      <c r="K34" s="13" t="n"/>
      <c r="L34" s="13" t="n"/>
      <c r="M34" s="13" t="n"/>
      <c r="N34" s="15" t="n"/>
      <c r="O34" s="13" t="n"/>
      <c r="P34" s="16">
        <f>IF(A34="","",A34&amp;"|"&amp;B34&amp;"|"&amp;C34&amp;"|"&amp;D34&amp;"|"&amp;E34&amp;"|"&amp;F34&amp;"|"&amp;G34&amp;"|"&amp;H34&amp;"|"&amp;I34&amp;"|"&amp;J34&amp;"|"&amp;K34&amp;"|"&amp;L34)</f>
        <v/>
      </c>
      <c r="Q34" s="29">
        <f>IF(P34="","",COUNTIF($P$5:$P$134,P34))</f>
        <v/>
      </c>
    </row>
    <row r="35">
      <c r="A35" s="13" t="n"/>
      <c r="B35" s="13" t="n"/>
      <c r="C35" s="13" t="n"/>
      <c r="D35" s="13" t="n"/>
      <c r="E35" s="13" t="n"/>
      <c r="F35" s="13" t="n"/>
      <c r="G35" s="13" t="n"/>
      <c r="H35" s="13" t="n"/>
      <c r="I35" s="13" t="n"/>
      <c r="J35" s="13" t="n"/>
      <c r="K35" s="13" t="n"/>
      <c r="L35" s="13" t="n"/>
      <c r="M35" s="13" t="n"/>
      <c r="N35" s="15" t="n"/>
      <c r="O35" s="13" t="n"/>
      <c r="P35" s="16">
        <f>IF(A35="","",A35&amp;"|"&amp;B35&amp;"|"&amp;C35&amp;"|"&amp;D35&amp;"|"&amp;E35&amp;"|"&amp;F35&amp;"|"&amp;G35&amp;"|"&amp;H35&amp;"|"&amp;I35&amp;"|"&amp;J35&amp;"|"&amp;K35&amp;"|"&amp;L35)</f>
        <v/>
      </c>
      <c r="Q35" s="29">
        <f>IF(P35="","",COUNTIF($P$5:$P$134,P35))</f>
        <v/>
      </c>
    </row>
    <row r="36">
      <c r="A36" s="13" t="n"/>
      <c r="B36" s="13" t="n"/>
      <c r="C36" s="13" t="n"/>
      <c r="D36" s="13" t="n"/>
      <c r="E36" s="13" t="n"/>
      <c r="F36" s="13" t="n"/>
      <c r="G36" s="13" t="n"/>
      <c r="H36" s="13" t="n"/>
      <c r="I36" s="13" t="n"/>
      <c r="J36" s="13" t="n"/>
      <c r="K36" s="13" t="n"/>
      <c r="L36" s="13" t="n"/>
      <c r="M36" s="13" t="n"/>
      <c r="N36" s="15" t="n"/>
      <c r="O36" s="13" t="n"/>
      <c r="P36" s="16">
        <f>IF(A36="","",A36&amp;"|"&amp;B36&amp;"|"&amp;C36&amp;"|"&amp;D36&amp;"|"&amp;E36&amp;"|"&amp;F36&amp;"|"&amp;G36&amp;"|"&amp;H36&amp;"|"&amp;I36&amp;"|"&amp;J36&amp;"|"&amp;K36&amp;"|"&amp;L36)</f>
        <v/>
      </c>
      <c r="Q36" s="29">
        <f>IF(P36="","",COUNTIF($P$5:$P$134,P36))</f>
        <v/>
      </c>
    </row>
    <row r="37">
      <c r="A37" s="13" t="n"/>
      <c r="B37" s="13" t="n"/>
      <c r="C37" s="13" t="n"/>
      <c r="D37" s="13" t="n"/>
      <c r="E37" s="13" t="n"/>
      <c r="F37" s="13" t="n"/>
      <c r="G37" s="13" t="n"/>
      <c r="H37" s="13" t="n"/>
      <c r="I37" s="13" t="n"/>
      <c r="J37" s="13" t="n"/>
      <c r="K37" s="13" t="n"/>
      <c r="L37" s="13" t="n"/>
      <c r="M37" s="13" t="n"/>
      <c r="N37" s="15" t="n"/>
      <c r="O37" s="13" t="n"/>
      <c r="P37" s="16">
        <f>IF(A37="","",A37&amp;"|"&amp;B37&amp;"|"&amp;C37&amp;"|"&amp;D37&amp;"|"&amp;E37&amp;"|"&amp;F37&amp;"|"&amp;G37&amp;"|"&amp;H37&amp;"|"&amp;I37&amp;"|"&amp;J37&amp;"|"&amp;K37&amp;"|"&amp;L37)</f>
        <v/>
      </c>
      <c r="Q37" s="29">
        <f>IF(P37="","",COUNTIF($P$5:$P$134,P37))</f>
        <v/>
      </c>
    </row>
    <row r="38">
      <c r="A38" s="13" t="n"/>
      <c r="B38" s="13" t="n"/>
      <c r="C38" s="13" t="n"/>
      <c r="D38" s="13" t="n"/>
      <c r="E38" s="13" t="n"/>
      <c r="F38" s="13" t="n"/>
      <c r="G38" s="13" t="n"/>
      <c r="H38" s="13" t="n"/>
      <c r="I38" s="13" t="n"/>
      <c r="J38" s="13" t="n"/>
      <c r="K38" s="13" t="n"/>
      <c r="L38" s="13" t="n"/>
      <c r="M38" s="13" t="n"/>
      <c r="N38" s="15" t="n"/>
      <c r="O38" s="13" t="n"/>
      <c r="P38" s="16">
        <f>IF(A38="","",A38&amp;"|"&amp;B38&amp;"|"&amp;C38&amp;"|"&amp;D38&amp;"|"&amp;E38&amp;"|"&amp;F38&amp;"|"&amp;G38&amp;"|"&amp;H38&amp;"|"&amp;I38&amp;"|"&amp;J38&amp;"|"&amp;K38&amp;"|"&amp;L38)</f>
        <v/>
      </c>
      <c r="Q38" s="29">
        <f>IF(P38="","",COUNTIF($P$5:$P$134,P38))</f>
        <v/>
      </c>
    </row>
    <row r="39">
      <c r="A39" s="13" t="n"/>
      <c r="B39" s="13" t="n"/>
      <c r="C39" s="13" t="n"/>
      <c r="D39" s="13" t="n"/>
      <c r="E39" s="13" t="n"/>
      <c r="F39" s="13" t="n"/>
      <c r="G39" s="13" t="n"/>
      <c r="H39" s="13" t="n"/>
      <c r="I39" s="13" t="n"/>
      <c r="J39" s="13" t="n"/>
      <c r="K39" s="13" t="n"/>
      <c r="L39" s="13" t="n"/>
      <c r="M39" s="13" t="n"/>
      <c r="N39" s="15" t="n"/>
      <c r="O39" s="13" t="n"/>
      <c r="P39" s="16">
        <f>IF(A39="","",A39&amp;"|"&amp;B39&amp;"|"&amp;C39&amp;"|"&amp;D39&amp;"|"&amp;E39&amp;"|"&amp;F39&amp;"|"&amp;G39&amp;"|"&amp;H39&amp;"|"&amp;I39&amp;"|"&amp;J39&amp;"|"&amp;K39&amp;"|"&amp;L39)</f>
        <v/>
      </c>
      <c r="Q39" s="29">
        <f>IF(P39="","",COUNTIF($P$5:$P$134,P39))</f>
        <v/>
      </c>
    </row>
    <row r="40">
      <c r="A40" s="13" t="n"/>
      <c r="B40" s="13" t="n"/>
      <c r="C40" s="13" t="n"/>
      <c r="D40" s="13" t="n"/>
      <c r="E40" s="13" t="n"/>
      <c r="F40" s="13" t="n"/>
      <c r="G40" s="13" t="n"/>
      <c r="H40" s="13" t="n"/>
      <c r="I40" s="13" t="n"/>
      <c r="J40" s="13" t="n"/>
      <c r="K40" s="13" t="n"/>
      <c r="L40" s="13" t="n"/>
      <c r="M40" s="13" t="n"/>
      <c r="N40" s="15" t="n"/>
      <c r="O40" s="13" t="n"/>
      <c r="P40" s="16">
        <f>IF(A40="","",A40&amp;"|"&amp;B40&amp;"|"&amp;C40&amp;"|"&amp;D40&amp;"|"&amp;E40&amp;"|"&amp;F40&amp;"|"&amp;G40&amp;"|"&amp;H40&amp;"|"&amp;I40&amp;"|"&amp;J40&amp;"|"&amp;K40&amp;"|"&amp;L40)</f>
        <v/>
      </c>
      <c r="Q40" s="29">
        <f>IF(P40="","",COUNTIF($P$5:$P$134,P40))</f>
        <v/>
      </c>
    </row>
    <row r="41">
      <c r="A41" s="13" t="n"/>
      <c r="B41" s="13" t="n"/>
      <c r="C41" s="13" t="n"/>
      <c r="D41" s="13" t="n"/>
      <c r="E41" s="13" t="n"/>
      <c r="F41" s="13" t="n"/>
      <c r="G41" s="13" t="n"/>
      <c r="H41" s="13" t="n"/>
      <c r="I41" s="13" t="n"/>
      <c r="J41" s="13" t="n"/>
      <c r="K41" s="13" t="n"/>
      <c r="L41" s="13" t="n"/>
      <c r="M41" s="13" t="n"/>
      <c r="N41" s="15" t="n"/>
      <c r="O41" s="13" t="n"/>
      <c r="P41" s="16">
        <f>IF(A41="","",A41&amp;"|"&amp;B41&amp;"|"&amp;C41&amp;"|"&amp;D41&amp;"|"&amp;E41&amp;"|"&amp;F41&amp;"|"&amp;G41&amp;"|"&amp;H41&amp;"|"&amp;I41&amp;"|"&amp;J41&amp;"|"&amp;K41&amp;"|"&amp;L41)</f>
        <v/>
      </c>
      <c r="Q41" s="29">
        <f>IF(P41="","",COUNTIF($P$5:$P$134,P41))</f>
        <v/>
      </c>
    </row>
    <row r="42">
      <c r="A42" s="13" t="n"/>
      <c r="B42" s="13" t="n"/>
      <c r="C42" s="13" t="n"/>
      <c r="D42" s="13" t="n"/>
      <c r="E42" s="13" t="n"/>
      <c r="F42" s="13" t="n"/>
      <c r="G42" s="13" t="n"/>
      <c r="H42" s="13" t="n"/>
      <c r="I42" s="13" t="n"/>
      <c r="J42" s="13" t="n"/>
      <c r="K42" s="13" t="n"/>
      <c r="L42" s="13" t="n"/>
      <c r="M42" s="13" t="n"/>
      <c r="N42" s="15" t="n"/>
      <c r="O42" s="13" t="n"/>
      <c r="P42" s="16">
        <f>IF(A42="","",A42&amp;"|"&amp;B42&amp;"|"&amp;C42&amp;"|"&amp;D42&amp;"|"&amp;E42&amp;"|"&amp;F42&amp;"|"&amp;G42&amp;"|"&amp;H42&amp;"|"&amp;I42&amp;"|"&amp;J42&amp;"|"&amp;K42&amp;"|"&amp;L42)</f>
        <v/>
      </c>
      <c r="Q42" s="29">
        <f>IF(P42="","",COUNTIF($P$5:$P$134,P42))</f>
        <v/>
      </c>
    </row>
    <row r="43">
      <c r="A43" s="13" t="n"/>
      <c r="B43" s="13" t="n"/>
      <c r="C43" s="13" t="n"/>
      <c r="D43" s="13" t="n"/>
      <c r="E43" s="13" t="n"/>
      <c r="F43" s="13" t="n"/>
      <c r="G43" s="13" t="n"/>
      <c r="H43" s="13" t="n"/>
      <c r="I43" s="13" t="n"/>
      <c r="J43" s="13" t="n"/>
      <c r="K43" s="13" t="n"/>
      <c r="L43" s="13" t="n"/>
      <c r="M43" s="13" t="n"/>
      <c r="N43" s="15" t="n"/>
      <c r="O43" s="13" t="n"/>
      <c r="P43" s="16">
        <f>IF(A43="","",A43&amp;"|"&amp;B43&amp;"|"&amp;C43&amp;"|"&amp;D43&amp;"|"&amp;E43&amp;"|"&amp;F43&amp;"|"&amp;G43&amp;"|"&amp;H43&amp;"|"&amp;I43&amp;"|"&amp;J43&amp;"|"&amp;K43&amp;"|"&amp;L43)</f>
        <v/>
      </c>
      <c r="Q43" s="29">
        <f>IF(P43="","",COUNTIF($P$5:$P$134,P43))</f>
        <v/>
      </c>
    </row>
    <row r="44">
      <c r="A44" s="13" t="n"/>
      <c r="B44" s="13" t="n"/>
      <c r="C44" s="13" t="n"/>
      <c r="D44" s="13" t="n"/>
      <c r="E44" s="13" t="n"/>
      <c r="F44" s="13" t="n"/>
      <c r="G44" s="13" t="n"/>
      <c r="H44" s="13" t="n"/>
      <c r="I44" s="13" t="n"/>
      <c r="J44" s="13" t="n"/>
      <c r="K44" s="13" t="n"/>
      <c r="L44" s="13" t="n"/>
      <c r="M44" s="13" t="n"/>
      <c r="N44" s="15" t="n"/>
      <c r="O44" s="13" t="n"/>
      <c r="P44" s="16">
        <f>IF(A44="","",A44&amp;"|"&amp;B44&amp;"|"&amp;C44&amp;"|"&amp;D44&amp;"|"&amp;E44&amp;"|"&amp;F44&amp;"|"&amp;G44&amp;"|"&amp;H44&amp;"|"&amp;I44&amp;"|"&amp;J44&amp;"|"&amp;K44&amp;"|"&amp;L44)</f>
        <v/>
      </c>
      <c r="Q44" s="29">
        <f>IF(P44="","",COUNTIF($P$5:$P$134,P44))</f>
        <v/>
      </c>
    </row>
    <row r="45">
      <c r="A45" s="13" t="n"/>
      <c r="B45" s="13" t="n"/>
      <c r="C45" s="13" t="n"/>
      <c r="D45" s="13" t="n"/>
      <c r="E45" s="13" t="n"/>
      <c r="F45" s="13" t="n"/>
      <c r="G45" s="13" t="n"/>
      <c r="H45" s="13" t="n"/>
      <c r="I45" s="13" t="n"/>
      <c r="J45" s="13" t="n"/>
      <c r="K45" s="13" t="n"/>
      <c r="L45" s="13" t="n"/>
      <c r="M45" s="13" t="n"/>
      <c r="N45" s="15" t="n"/>
      <c r="O45" s="13" t="n"/>
      <c r="P45" s="16">
        <f>IF(A45="","",A45&amp;"|"&amp;B45&amp;"|"&amp;C45&amp;"|"&amp;D45&amp;"|"&amp;E45&amp;"|"&amp;F45&amp;"|"&amp;G45&amp;"|"&amp;H45&amp;"|"&amp;I45&amp;"|"&amp;J45&amp;"|"&amp;K45&amp;"|"&amp;L45)</f>
        <v/>
      </c>
      <c r="Q45" s="29">
        <f>IF(P45="","",COUNTIF($P$5:$P$134,P45))</f>
        <v/>
      </c>
    </row>
    <row r="46">
      <c r="A46" s="13" t="n"/>
      <c r="B46" s="13" t="n"/>
      <c r="C46" s="13" t="n"/>
      <c r="D46" s="13" t="n"/>
      <c r="E46" s="13" t="n"/>
      <c r="F46" s="13" t="n"/>
      <c r="G46" s="13" t="n"/>
      <c r="H46" s="13" t="n"/>
      <c r="I46" s="13" t="n"/>
      <c r="J46" s="13" t="n"/>
      <c r="K46" s="13" t="n"/>
      <c r="L46" s="13" t="n"/>
      <c r="M46" s="13" t="n"/>
      <c r="N46" s="15" t="n"/>
      <c r="O46" s="13" t="n"/>
      <c r="P46" s="16">
        <f>IF(A46="","",A46&amp;"|"&amp;B46&amp;"|"&amp;C46&amp;"|"&amp;D46&amp;"|"&amp;E46&amp;"|"&amp;F46&amp;"|"&amp;G46&amp;"|"&amp;H46&amp;"|"&amp;I46&amp;"|"&amp;J46&amp;"|"&amp;K46&amp;"|"&amp;L46)</f>
        <v/>
      </c>
      <c r="Q46" s="29">
        <f>IF(P46="","",COUNTIF($P$5:$P$134,P46))</f>
        <v/>
      </c>
    </row>
    <row r="47">
      <c r="A47" s="13" t="n"/>
      <c r="B47" s="13" t="n"/>
      <c r="C47" s="13" t="n"/>
      <c r="D47" s="13" t="n"/>
      <c r="E47" s="13" t="n"/>
      <c r="F47" s="13" t="n"/>
      <c r="G47" s="13" t="n"/>
      <c r="H47" s="13" t="n"/>
      <c r="I47" s="13" t="n"/>
      <c r="J47" s="13" t="n"/>
      <c r="K47" s="13" t="n"/>
      <c r="L47" s="13" t="n"/>
      <c r="M47" s="13" t="n"/>
      <c r="N47" s="15" t="n"/>
      <c r="O47" s="13" t="n"/>
      <c r="P47" s="16">
        <f>IF(A47="","",A47&amp;"|"&amp;B47&amp;"|"&amp;C47&amp;"|"&amp;D47&amp;"|"&amp;E47&amp;"|"&amp;F47&amp;"|"&amp;G47&amp;"|"&amp;H47&amp;"|"&amp;I47&amp;"|"&amp;J47&amp;"|"&amp;K47&amp;"|"&amp;L47)</f>
        <v/>
      </c>
      <c r="Q47" s="29">
        <f>IF(P47="","",COUNTIF($P$5:$P$134,P47))</f>
        <v/>
      </c>
    </row>
    <row r="48">
      <c r="A48" s="13" t="n"/>
      <c r="B48" s="13" t="n"/>
      <c r="C48" s="13" t="n"/>
      <c r="D48" s="13" t="n"/>
      <c r="E48" s="13" t="n"/>
      <c r="F48" s="13" t="n"/>
      <c r="G48" s="13" t="n"/>
      <c r="H48" s="13" t="n"/>
      <c r="I48" s="13" t="n"/>
      <c r="J48" s="13" t="n"/>
      <c r="K48" s="13" t="n"/>
      <c r="L48" s="13" t="n"/>
      <c r="M48" s="13" t="n"/>
      <c r="N48" s="15" t="n"/>
      <c r="O48" s="13" t="n"/>
      <c r="P48" s="16">
        <f>IF(A48="","",A48&amp;"|"&amp;B48&amp;"|"&amp;C48&amp;"|"&amp;D48&amp;"|"&amp;E48&amp;"|"&amp;F48&amp;"|"&amp;G48&amp;"|"&amp;H48&amp;"|"&amp;I48&amp;"|"&amp;J48&amp;"|"&amp;K48&amp;"|"&amp;L48)</f>
        <v/>
      </c>
      <c r="Q48" s="29">
        <f>IF(P48="","",COUNTIF($P$5:$P$134,P48))</f>
        <v/>
      </c>
    </row>
    <row r="49">
      <c r="A49" s="13" t="n"/>
      <c r="B49" s="13" t="n"/>
      <c r="C49" s="13" t="n"/>
      <c r="D49" s="13" t="n"/>
      <c r="E49" s="13" t="n"/>
      <c r="F49" s="13" t="n"/>
      <c r="G49" s="13" t="n"/>
      <c r="H49" s="13" t="n"/>
      <c r="I49" s="13" t="n"/>
      <c r="J49" s="13" t="n"/>
      <c r="K49" s="13" t="n"/>
      <c r="L49" s="13" t="n"/>
      <c r="M49" s="13" t="n"/>
      <c r="N49" s="15" t="n"/>
      <c r="O49" s="13" t="n"/>
      <c r="P49" s="16">
        <f>IF(A49="","",A49&amp;"|"&amp;B49&amp;"|"&amp;C49&amp;"|"&amp;D49&amp;"|"&amp;E49&amp;"|"&amp;F49&amp;"|"&amp;G49&amp;"|"&amp;H49&amp;"|"&amp;I49&amp;"|"&amp;J49&amp;"|"&amp;K49&amp;"|"&amp;L49)</f>
        <v/>
      </c>
      <c r="Q49" s="29">
        <f>IF(P49="","",COUNTIF($P$5:$P$134,P49))</f>
        <v/>
      </c>
    </row>
    <row r="50">
      <c r="A50" s="13" t="n"/>
      <c r="B50" s="13" t="n"/>
      <c r="C50" s="13" t="n"/>
      <c r="D50" s="13" t="n"/>
      <c r="E50" s="13" t="n"/>
      <c r="F50" s="13" t="n"/>
      <c r="G50" s="13" t="n"/>
      <c r="H50" s="13" t="n"/>
      <c r="I50" s="13" t="n"/>
      <c r="J50" s="13" t="n"/>
      <c r="K50" s="13" t="n"/>
      <c r="L50" s="13" t="n"/>
      <c r="M50" s="13" t="n"/>
      <c r="N50" s="15" t="n"/>
      <c r="O50" s="13" t="n"/>
      <c r="P50" s="16">
        <f>IF(A50="","",A50&amp;"|"&amp;B50&amp;"|"&amp;C50&amp;"|"&amp;D50&amp;"|"&amp;E50&amp;"|"&amp;F50&amp;"|"&amp;G50&amp;"|"&amp;H50&amp;"|"&amp;I50&amp;"|"&amp;J50&amp;"|"&amp;K50&amp;"|"&amp;L50)</f>
        <v/>
      </c>
      <c r="Q50" s="29">
        <f>IF(P50="","",COUNTIF($P$5:$P$134,P50))</f>
        <v/>
      </c>
    </row>
    <row r="51">
      <c r="A51" s="13" t="n"/>
      <c r="B51" s="13" t="n"/>
      <c r="C51" s="13" t="n"/>
      <c r="D51" s="13" t="n"/>
      <c r="E51" s="13" t="n"/>
      <c r="F51" s="13" t="n"/>
      <c r="G51" s="13" t="n"/>
      <c r="H51" s="13" t="n"/>
      <c r="I51" s="13" t="n"/>
      <c r="J51" s="13" t="n"/>
      <c r="K51" s="13" t="n"/>
      <c r="L51" s="13" t="n"/>
      <c r="M51" s="13" t="n"/>
      <c r="N51" s="15" t="n"/>
      <c r="O51" s="13" t="n"/>
      <c r="P51" s="16">
        <f>IF(A51="","",A51&amp;"|"&amp;B51&amp;"|"&amp;C51&amp;"|"&amp;D51&amp;"|"&amp;E51&amp;"|"&amp;F51&amp;"|"&amp;G51&amp;"|"&amp;H51&amp;"|"&amp;I51&amp;"|"&amp;J51&amp;"|"&amp;K51&amp;"|"&amp;L51)</f>
        <v/>
      </c>
      <c r="Q51" s="29">
        <f>IF(P51="","",COUNTIF($P$5:$P$134,P51))</f>
        <v/>
      </c>
    </row>
    <row r="52">
      <c r="A52" s="13" t="n"/>
      <c r="B52" s="13" t="n"/>
      <c r="C52" s="13" t="n"/>
      <c r="D52" s="13" t="n"/>
      <c r="E52" s="13" t="n"/>
      <c r="F52" s="13" t="n"/>
      <c r="G52" s="13" t="n"/>
      <c r="H52" s="13" t="n"/>
      <c r="I52" s="13" t="n"/>
      <c r="J52" s="13" t="n"/>
      <c r="K52" s="13" t="n"/>
      <c r="L52" s="13" t="n"/>
      <c r="M52" s="13" t="n"/>
      <c r="N52" s="15" t="n"/>
      <c r="O52" s="13" t="n"/>
      <c r="P52" s="16">
        <f>IF(A52="","",A52&amp;"|"&amp;B52&amp;"|"&amp;C52&amp;"|"&amp;D52&amp;"|"&amp;E52&amp;"|"&amp;F52&amp;"|"&amp;G52&amp;"|"&amp;H52&amp;"|"&amp;I52&amp;"|"&amp;J52&amp;"|"&amp;K52&amp;"|"&amp;L52)</f>
        <v/>
      </c>
      <c r="Q52" s="29">
        <f>IF(P52="","",COUNTIF($P$5:$P$134,P52))</f>
        <v/>
      </c>
    </row>
    <row r="53">
      <c r="A53" s="13" t="n"/>
      <c r="B53" s="13" t="n"/>
      <c r="C53" s="13" t="n"/>
      <c r="D53" s="13" t="n"/>
      <c r="E53" s="13" t="n"/>
      <c r="F53" s="13" t="n"/>
      <c r="G53" s="13" t="n"/>
      <c r="H53" s="13" t="n"/>
      <c r="I53" s="13" t="n"/>
      <c r="J53" s="13" t="n"/>
      <c r="K53" s="13" t="n"/>
      <c r="L53" s="13" t="n"/>
      <c r="M53" s="13" t="n"/>
      <c r="N53" s="15" t="n"/>
      <c r="O53" s="13" t="n"/>
      <c r="P53" s="16">
        <f>IF(A53="","",A53&amp;"|"&amp;B53&amp;"|"&amp;C53&amp;"|"&amp;D53&amp;"|"&amp;E53&amp;"|"&amp;F53&amp;"|"&amp;G53&amp;"|"&amp;H53&amp;"|"&amp;I53&amp;"|"&amp;J53&amp;"|"&amp;K53&amp;"|"&amp;L53)</f>
        <v/>
      </c>
      <c r="Q53" s="29">
        <f>IF(P53="","",COUNTIF($P$5:$P$134,P53))</f>
        <v/>
      </c>
    </row>
    <row r="54">
      <c r="A54" s="13" t="n"/>
      <c r="B54" s="13" t="n"/>
      <c r="C54" s="13" t="n"/>
      <c r="D54" s="13" t="n"/>
      <c r="E54" s="13" t="n"/>
      <c r="F54" s="13" t="n"/>
      <c r="G54" s="13" t="n"/>
      <c r="H54" s="13" t="n"/>
      <c r="I54" s="13" t="n"/>
      <c r="J54" s="13" t="n"/>
      <c r="K54" s="13" t="n"/>
      <c r="L54" s="13" t="n"/>
      <c r="M54" s="13" t="n"/>
      <c r="N54" s="15" t="n"/>
      <c r="O54" s="13" t="n"/>
      <c r="P54" s="16">
        <f>IF(A54="","",A54&amp;"|"&amp;B54&amp;"|"&amp;C54&amp;"|"&amp;D54&amp;"|"&amp;E54&amp;"|"&amp;F54&amp;"|"&amp;G54&amp;"|"&amp;H54&amp;"|"&amp;I54&amp;"|"&amp;J54&amp;"|"&amp;K54&amp;"|"&amp;L54)</f>
        <v/>
      </c>
      <c r="Q54" s="29">
        <f>IF(P54="","",COUNTIF($P$5:$P$134,P54))</f>
        <v/>
      </c>
    </row>
    <row r="55">
      <c r="A55" s="13" t="n"/>
      <c r="B55" s="13" t="n"/>
      <c r="C55" s="13" t="n"/>
      <c r="D55" s="13" t="n"/>
      <c r="E55" s="13" t="n"/>
      <c r="F55" s="13" t="n"/>
      <c r="G55" s="13" t="n"/>
      <c r="H55" s="13" t="n"/>
      <c r="I55" s="13" t="n"/>
      <c r="J55" s="13" t="n"/>
      <c r="K55" s="13" t="n"/>
      <c r="L55" s="13" t="n"/>
      <c r="M55" s="13" t="n"/>
      <c r="N55" s="15" t="n"/>
      <c r="O55" s="13" t="n"/>
      <c r="P55" s="16">
        <f>IF(A55="","",A55&amp;"|"&amp;B55&amp;"|"&amp;C55&amp;"|"&amp;D55&amp;"|"&amp;E55&amp;"|"&amp;F55&amp;"|"&amp;G55&amp;"|"&amp;H55&amp;"|"&amp;I55&amp;"|"&amp;J55&amp;"|"&amp;K55&amp;"|"&amp;L55)</f>
        <v/>
      </c>
      <c r="Q55" s="29">
        <f>IF(P55="","",COUNTIF($P$5:$P$134,P55))</f>
        <v/>
      </c>
    </row>
    <row r="56">
      <c r="A56" s="13" t="n"/>
      <c r="B56" s="13" t="n"/>
      <c r="C56" s="13" t="n"/>
      <c r="D56" s="13" t="n"/>
      <c r="E56" s="13" t="n"/>
      <c r="F56" s="13" t="n"/>
      <c r="G56" s="13" t="n"/>
      <c r="H56" s="13" t="n"/>
      <c r="I56" s="13" t="n"/>
      <c r="J56" s="13" t="n"/>
      <c r="K56" s="13" t="n"/>
      <c r="L56" s="13" t="n"/>
      <c r="M56" s="13" t="n"/>
      <c r="N56" s="15" t="n"/>
      <c r="O56" s="13" t="n"/>
      <c r="P56" s="16">
        <f>IF(A56="","",A56&amp;"|"&amp;B56&amp;"|"&amp;C56&amp;"|"&amp;D56&amp;"|"&amp;E56&amp;"|"&amp;F56&amp;"|"&amp;G56&amp;"|"&amp;H56&amp;"|"&amp;I56&amp;"|"&amp;J56&amp;"|"&amp;K56&amp;"|"&amp;L56)</f>
        <v/>
      </c>
      <c r="Q56" s="29">
        <f>IF(P56="","",COUNTIF($P$5:$P$134,P56))</f>
        <v/>
      </c>
    </row>
    <row r="57">
      <c r="A57" s="13" t="n"/>
      <c r="B57" s="13" t="n"/>
      <c r="C57" s="13" t="n"/>
      <c r="D57" s="13" t="n"/>
      <c r="E57" s="13" t="n"/>
      <c r="F57" s="13" t="n"/>
      <c r="G57" s="13" t="n"/>
      <c r="H57" s="13" t="n"/>
      <c r="I57" s="13" t="n"/>
      <c r="J57" s="13" t="n"/>
      <c r="K57" s="13" t="n"/>
      <c r="L57" s="13" t="n"/>
      <c r="M57" s="13" t="n"/>
      <c r="N57" s="15" t="n"/>
      <c r="O57" s="13" t="n"/>
      <c r="P57" s="16">
        <f>IF(A57="","",A57&amp;"|"&amp;B57&amp;"|"&amp;C57&amp;"|"&amp;D57&amp;"|"&amp;E57&amp;"|"&amp;F57&amp;"|"&amp;G57&amp;"|"&amp;H57&amp;"|"&amp;I57&amp;"|"&amp;J57&amp;"|"&amp;K57&amp;"|"&amp;L57)</f>
        <v/>
      </c>
      <c r="Q57" s="29">
        <f>IF(P57="","",COUNTIF($P$5:$P$134,P57))</f>
        <v/>
      </c>
    </row>
    <row r="58">
      <c r="A58" s="13" t="n"/>
      <c r="B58" s="13" t="n"/>
      <c r="C58" s="13" t="n"/>
      <c r="D58" s="13" t="n"/>
      <c r="E58" s="13" t="n"/>
      <c r="F58" s="13" t="n"/>
      <c r="G58" s="13" t="n"/>
      <c r="H58" s="13" t="n"/>
      <c r="I58" s="13" t="n"/>
      <c r="J58" s="13" t="n"/>
      <c r="K58" s="13" t="n"/>
      <c r="L58" s="13" t="n"/>
      <c r="M58" s="13" t="n"/>
      <c r="N58" s="15" t="n"/>
      <c r="O58" s="13" t="n"/>
      <c r="P58" s="16">
        <f>IF(A58="","",A58&amp;"|"&amp;B58&amp;"|"&amp;C58&amp;"|"&amp;D58&amp;"|"&amp;E58&amp;"|"&amp;F58&amp;"|"&amp;G58&amp;"|"&amp;H58&amp;"|"&amp;I58&amp;"|"&amp;J58&amp;"|"&amp;K58&amp;"|"&amp;L58)</f>
        <v/>
      </c>
      <c r="Q58" s="29">
        <f>IF(P58="","",COUNTIF($P$5:$P$134,P58))</f>
        <v/>
      </c>
    </row>
    <row r="59">
      <c r="A59" s="13" t="n"/>
      <c r="B59" s="13" t="n"/>
      <c r="C59" s="13" t="n"/>
      <c r="D59" s="13" t="n"/>
      <c r="E59" s="13" t="n"/>
      <c r="F59" s="13" t="n"/>
      <c r="G59" s="13" t="n"/>
      <c r="H59" s="13" t="n"/>
      <c r="I59" s="13" t="n"/>
      <c r="J59" s="13" t="n"/>
      <c r="K59" s="13" t="n"/>
      <c r="L59" s="13" t="n"/>
      <c r="M59" s="13" t="n"/>
      <c r="N59" s="15" t="n"/>
      <c r="O59" s="13" t="n"/>
      <c r="P59" s="16">
        <f>IF(A59="","",A59&amp;"|"&amp;B59&amp;"|"&amp;C59&amp;"|"&amp;D59&amp;"|"&amp;E59&amp;"|"&amp;F59&amp;"|"&amp;G59&amp;"|"&amp;H59&amp;"|"&amp;I59&amp;"|"&amp;J59&amp;"|"&amp;K59&amp;"|"&amp;L59)</f>
        <v/>
      </c>
      <c r="Q59" s="29">
        <f>IF(P59="","",COUNTIF($P$5:$P$134,P59))</f>
        <v/>
      </c>
    </row>
    <row r="60">
      <c r="A60" s="13" t="n"/>
      <c r="B60" s="13" t="n"/>
      <c r="C60" s="13" t="n"/>
      <c r="D60" s="13" t="n"/>
      <c r="E60" s="13" t="n"/>
      <c r="F60" s="13" t="n"/>
      <c r="G60" s="13" t="n"/>
      <c r="H60" s="13" t="n"/>
      <c r="I60" s="13" t="n"/>
      <c r="J60" s="13" t="n"/>
      <c r="K60" s="13" t="n"/>
      <c r="L60" s="13" t="n"/>
      <c r="M60" s="13" t="n"/>
      <c r="N60" s="15" t="n"/>
      <c r="O60" s="13" t="n"/>
      <c r="P60" s="16">
        <f>IF(A60="","",A60&amp;"|"&amp;B60&amp;"|"&amp;C60&amp;"|"&amp;D60&amp;"|"&amp;E60&amp;"|"&amp;F60&amp;"|"&amp;G60&amp;"|"&amp;H60&amp;"|"&amp;I60&amp;"|"&amp;J60&amp;"|"&amp;K60&amp;"|"&amp;L60)</f>
        <v/>
      </c>
      <c r="Q60" s="29">
        <f>IF(P60="","",COUNTIF($P$5:$P$134,P60))</f>
        <v/>
      </c>
    </row>
    <row r="61">
      <c r="A61" s="13" t="n"/>
      <c r="B61" s="13" t="n"/>
      <c r="C61" s="13" t="n"/>
      <c r="D61" s="13" t="n"/>
      <c r="E61" s="13" t="n"/>
      <c r="F61" s="13" t="n"/>
      <c r="G61" s="13" t="n"/>
      <c r="H61" s="13" t="n"/>
      <c r="I61" s="13" t="n"/>
      <c r="J61" s="13" t="n"/>
      <c r="K61" s="13" t="n"/>
      <c r="L61" s="13" t="n"/>
      <c r="M61" s="13" t="n"/>
      <c r="N61" s="15" t="n"/>
      <c r="O61" s="13" t="n"/>
      <c r="P61" s="16">
        <f>IF(A61="","",A61&amp;"|"&amp;B61&amp;"|"&amp;C61&amp;"|"&amp;D61&amp;"|"&amp;E61&amp;"|"&amp;F61&amp;"|"&amp;G61&amp;"|"&amp;H61&amp;"|"&amp;I61&amp;"|"&amp;J61&amp;"|"&amp;K61&amp;"|"&amp;L61)</f>
        <v/>
      </c>
      <c r="Q61" s="29">
        <f>IF(P61="","",COUNTIF($P$5:$P$134,P61))</f>
        <v/>
      </c>
    </row>
    <row r="62">
      <c r="A62" s="13" t="n"/>
      <c r="B62" s="13" t="n"/>
      <c r="C62" s="13" t="n"/>
      <c r="D62" s="13" t="n"/>
      <c r="E62" s="13" t="n"/>
      <c r="F62" s="13" t="n"/>
      <c r="G62" s="13" t="n"/>
      <c r="H62" s="13" t="n"/>
      <c r="I62" s="13" t="n"/>
      <c r="J62" s="13" t="n"/>
      <c r="K62" s="13" t="n"/>
      <c r="L62" s="13" t="n"/>
      <c r="M62" s="13" t="n"/>
      <c r="N62" s="15" t="n"/>
      <c r="O62" s="13" t="n"/>
      <c r="P62" s="16">
        <f>IF(A62="","",A62&amp;"|"&amp;B62&amp;"|"&amp;C62&amp;"|"&amp;D62&amp;"|"&amp;E62&amp;"|"&amp;F62&amp;"|"&amp;G62&amp;"|"&amp;H62&amp;"|"&amp;I62&amp;"|"&amp;J62&amp;"|"&amp;K62&amp;"|"&amp;L62)</f>
        <v/>
      </c>
      <c r="Q62" s="29">
        <f>IF(P62="","",COUNTIF($P$5:$P$134,P62))</f>
        <v/>
      </c>
    </row>
    <row r="63">
      <c r="A63" s="13" t="n"/>
      <c r="B63" s="13" t="n"/>
      <c r="C63" s="13" t="n"/>
      <c r="D63" s="13" t="n"/>
      <c r="E63" s="13" t="n"/>
      <c r="F63" s="13" t="n"/>
      <c r="G63" s="13" t="n"/>
      <c r="H63" s="13" t="n"/>
      <c r="I63" s="13" t="n"/>
      <c r="J63" s="13" t="n"/>
      <c r="K63" s="13" t="n"/>
      <c r="L63" s="13" t="n"/>
      <c r="M63" s="13" t="n"/>
      <c r="N63" s="15" t="n"/>
      <c r="O63" s="13" t="n"/>
      <c r="P63" s="16">
        <f>IF(A63="","",A63&amp;"|"&amp;B63&amp;"|"&amp;C63&amp;"|"&amp;D63&amp;"|"&amp;E63&amp;"|"&amp;F63&amp;"|"&amp;G63&amp;"|"&amp;H63&amp;"|"&amp;I63&amp;"|"&amp;J63&amp;"|"&amp;K63&amp;"|"&amp;L63)</f>
        <v/>
      </c>
      <c r="Q63" s="29">
        <f>IF(P63="","",COUNTIF($P$5:$P$134,P63))</f>
        <v/>
      </c>
    </row>
    <row r="64">
      <c r="A64" s="13" t="n"/>
      <c r="B64" s="13" t="n"/>
      <c r="C64" s="13" t="n"/>
      <c r="D64" s="13" t="n"/>
      <c r="E64" s="13" t="n"/>
      <c r="F64" s="13" t="n"/>
      <c r="G64" s="13" t="n"/>
      <c r="H64" s="13" t="n"/>
      <c r="I64" s="13" t="n"/>
      <c r="J64" s="13" t="n"/>
      <c r="K64" s="13" t="n"/>
      <c r="L64" s="13" t="n"/>
      <c r="M64" s="13" t="n"/>
      <c r="N64" s="15" t="n"/>
      <c r="O64" s="13" t="n"/>
      <c r="P64" s="16">
        <f>IF(A64="","",A64&amp;"|"&amp;B64&amp;"|"&amp;C64&amp;"|"&amp;D64&amp;"|"&amp;E64&amp;"|"&amp;F64&amp;"|"&amp;G64&amp;"|"&amp;H64&amp;"|"&amp;I64&amp;"|"&amp;J64&amp;"|"&amp;K64&amp;"|"&amp;L64)</f>
        <v/>
      </c>
      <c r="Q64" s="29">
        <f>IF(P64="","",COUNTIF($P$5:$P$134,P64))</f>
        <v/>
      </c>
    </row>
    <row r="65">
      <c r="A65" s="13" t="n"/>
      <c r="B65" s="13" t="n"/>
      <c r="C65" s="13" t="n"/>
      <c r="D65" s="13" t="n"/>
      <c r="E65" s="13" t="n"/>
      <c r="F65" s="13" t="n"/>
      <c r="G65" s="13" t="n"/>
      <c r="H65" s="13" t="n"/>
      <c r="I65" s="13" t="n"/>
      <c r="J65" s="13" t="n"/>
      <c r="K65" s="13" t="n"/>
      <c r="L65" s="13" t="n"/>
      <c r="M65" s="13" t="n"/>
      <c r="N65" s="15" t="n"/>
      <c r="O65" s="13" t="n"/>
      <c r="P65" s="16">
        <f>IF(A65="","",A65&amp;"|"&amp;B65&amp;"|"&amp;C65&amp;"|"&amp;D65&amp;"|"&amp;E65&amp;"|"&amp;F65&amp;"|"&amp;G65&amp;"|"&amp;H65&amp;"|"&amp;I65&amp;"|"&amp;J65&amp;"|"&amp;K65&amp;"|"&amp;L65)</f>
        <v/>
      </c>
      <c r="Q65" s="29">
        <f>IF(P65="","",COUNTIF($P$5:$P$134,P65))</f>
        <v/>
      </c>
    </row>
    <row r="66">
      <c r="A66" s="13" t="n"/>
      <c r="B66" s="13" t="n"/>
      <c r="C66" s="13" t="n"/>
      <c r="D66" s="13" t="n"/>
      <c r="E66" s="13" t="n"/>
      <c r="F66" s="13" t="n"/>
      <c r="G66" s="13" t="n"/>
      <c r="H66" s="13" t="n"/>
      <c r="I66" s="13" t="n"/>
      <c r="J66" s="13" t="n"/>
      <c r="K66" s="13" t="n"/>
      <c r="L66" s="13" t="n"/>
      <c r="M66" s="13" t="n"/>
      <c r="N66" s="15" t="n"/>
      <c r="O66" s="13" t="n"/>
      <c r="P66" s="16">
        <f>IF(A66="","",A66&amp;"|"&amp;B66&amp;"|"&amp;C66&amp;"|"&amp;D66&amp;"|"&amp;E66&amp;"|"&amp;F66&amp;"|"&amp;G66&amp;"|"&amp;H66&amp;"|"&amp;I66&amp;"|"&amp;J66&amp;"|"&amp;K66&amp;"|"&amp;L66)</f>
        <v/>
      </c>
      <c r="Q66" s="29">
        <f>IF(P66="","",COUNTIF($P$5:$P$134,P66))</f>
        <v/>
      </c>
    </row>
    <row r="67">
      <c r="A67" s="13" t="n"/>
      <c r="B67" s="13" t="n"/>
      <c r="C67" s="13" t="n"/>
      <c r="D67" s="13" t="n"/>
      <c r="E67" s="13" t="n"/>
      <c r="F67" s="13" t="n"/>
      <c r="G67" s="13" t="n"/>
      <c r="H67" s="13" t="n"/>
      <c r="I67" s="13" t="n"/>
      <c r="J67" s="13" t="n"/>
      <c r="K67" s="13" t="n"/>
      <c r="L67" s="13" t="n"/>
      <c r="M67" s="13" t="n"/>
      <c r="N67" s="15" t="n"/>
      <c r="O67" s="13" t="n"/>
      <c r="P67" s="16">
        <f>IF(A67="","",A67&amp;"|"&amp;B67&amp;"|"&amp;C67&amp;"|"&amp;D67&amp;"|"&amp;E67&amp;"|"&amp;F67&amp;"|"&amp;G67&amp;"|"&amp;H67&amp;"|"&amp;I67&amp;"|"&amp;J67&amp;"|"&amp;K67&amp;"|"&amp;L67)</f>
        <v/>
      </c>
      <c r="Q67" s="29">
        <f>IF(P67="","",COUNTIF($P$5:$P$134,P67))</f>
        <v/>
      </c>
    </row>
    <row r="68">
      <c r="A68" s="13" t="n"/>
      <c r="B68" s="13" t="n"/>
      <c r="C68" s="13" t="n"/>
      <c r="D68" s="13" t="n"/>
      <c r="E68" s="13" t="n"/>
      <c r="F68" s="13" t="n"/>
      <c r="G68" s="13" t="n"/>
      <c r="H68" s="13" t="n"/>
      <c r="I68" s="13" t="n"/>
      <c r="J68" s="13" t="n"/>
      <c r="K68" s="13" t="n"/>
      <c r="L68" s="13" t="n"/>
      <c r="M68" s="13" t="n"/>
      <c r="N68" s="15" t="n"/>
      <c r="O68" s="13" t="n"/>
      <c r="P68" s="16">
        <f>IF(A68="","",A68&amp;"|"&amp;B68&amp;"|"&amp;C68&amp;"|"&amp;D68&amp;"|"&amp;E68&amp;"|"&amp;F68&amp;"|"&amp;G68&amp;"|"&amp;H68&amp;"|"&amp;I68&amp;"|"&amp;J68&amp;"|"&amp;K68&amp;"|"&amp;L68)</f>
        <v/>
      </c>
      <c r="Q68" s="29">
        <f>IF(P68="","",COUNTIF($P$5:$P$134,P68))</f>
        <v/>
      </c>
    </row>
    <row r="69">
      <c r="A69" s="13" t="n"/>
      <c r="B69" s="13" t="n"/>
      <c r="C69" s="13" t="n"/>
      <c r="D69" s="13" t="n"/>
      <c r="E69" s="13" t="n"/>
      <c r="F69" s="13" t="n"/>
      <c r="G69" s="13" t="n"/>
      <c r="H69" s="13" t="n"/>
      <c r="I69" s="13" t="n"/>
      <c r="J69" s="13" t="n"/>
      <c r="K69" s="13" t="n"/>
      <c r="L69" s="13" t="n"/>
      <c r="M69" s="13" t="n"/>
      <c r="N69" s="15" t="n"/>
      <c r="O69" s="13" t="n"/>
      <c r="P69" s="16">
        <f>IF(A69="","",A69&amp;"|"&amp;B69&amp;"|"&amp;C69&amp;"|"&amp;D69&amp;"|"&amp;E69&amp;"|"&amp;F69&amp;"|"&amp;G69&amp;"|"&amp;H69&amp;"|"&amp;I69&amp;"|"&amp;J69&amp;"|"&amp;K69&amp;"|"&amp;L69)</f>
        <v/>
      </c>
      <c r="Q69" s="29">
        <f>IF(P69="","",COUNTIF($P$5:$P$134,P69))</f>
        <v/>
      </c>
    </row>
    <row r="70">
      <c r="A70" s="13" t="n"/>
      <c r="B70" s="13" t="n"/>
      <c r="C70" s="13" t="n"/>
      <c r="D70" s="13" t="n"/>
      <c r="E70" s="13" t="n"/>
      <c r="F70" s="13" t="n"/>
      <c r="G70" s="13" t="n"/>
      <c r="H70" s="13" t="n"/>
      <c r="I70" s="13" t="n"/>
      <c r="J70" s="13" t="n"/>
      <c r="K70" s="13" t="n"/>
      <c r="L70" s="13" t="n"/>
      <c r="M70" s="13" t="n"/>
      <c r="N70" s="15" t="n"/>
      <c r="O70" s="13" t="n"/>
      <c r="P70" s="16">
        <f>IF(A70="","",A70&amp;"|"&amp;B70&amp;"|"&amp;C70&amp;"|"&amp;D70&amp;"|"&amp;E70&amp;"|"&amp;F70&amp;"|"&amp;G70&amp;"|"&amp;H70&amp;"|"&amp;I70&amp;"|"&amp;J70&amp;"|"&amp;K70&amp;"|"&amp;L70)</f>
        <v/>
      </c>
      <c r="Q70" s="29">
        <f>IF(P70="","",COUNTIF($P$5:$P$134,P70))</f>
        <v/>
      </c>
    </row>
    <row r="71">
      <c r="A71" s="13" t="n"/>
      <c r="B71" s="13" t="n"/>
      <c r="C71" s="13" t="n"/>
      <c r="D71" s="13" t="n"/>
      <c r="E71" s="13" t="n"/>
      <c r="F71" s="13" t="n"/>
      <c r="G71" s="13" t="n"/>
      <c r="H71" s="13" t="n"/>
      <c r="I71" s="13" t="n"/>
      <c r="J71" s="13" t="n"/>
      <c r="K71" s="13" t="n"/>
      <c r="L71" s="13" t="n"/>
      <c r="M71" s="13" t="n"/>
      <c r="N71" s="15" t="n"/>
      <c r="O71" s="13" t="n"/>
      <c r="P71" s="16">
        <f>IF(A71="","",A71&amp;"|"&amp;B71&amp;"|"&amp;C71&amp;"|"&amp;D71&amp;"|"&amp;E71&amp;"|"&amp;F71&amp;"|"&amp;G71&amp;"|"&amp;H71&amp;"|"&amp;I71&amp;"|"&amp;J71&amp;"|"&amp;K71&amp;"|"&amp;L71)</f>
        <v/>
      </c>
      <c r="Q71" s="29">
        <f>IF(P71="","",COUNTIF($P$5:$P$134,P71))</f>
        <v/>
      </c>
    </row>
    <row r="72">
      <c r="A72" s="13" t="n"/>
      <c r="B72" s="13" t="n"/>
      <c r="C72" s="13" t="n"/>
      <c r="D72" s="13" t="n"/>
      <c r="E72" s="13" t="n"/>
      <c r="F72" s="13" t="n"/>
      <c r="G72" s="13" t="n"/>
      <c r="H72" s="13" t="n"/>
      <c r="I72" s="13" t="n"/>
      <c r="J72" s="13" t="n"/>
      <c r="K72" s="13" t="n"/>
      <c r="L72" s="13" t="n"/>
      <c r="M72" s="13" t="n"/>
      <c r="N72" s="15" t="n"/>
      <c r="O72" s="13" t="n"/>
      <c r="P72" s="16">
        <f>IF(A72="","",A72&amp;"|"&amp;B72&amp;"|"&amp;C72&amp;"|"&amp;D72&amp;"|"&amp;E72&amp;"|"&amp;F72&amp;"|"&amp;G72&amp;"|"&amp;H72&amp;"|"&amp;I72&amp;"|"&amp;J72&amp;"|"&amp;K72&amp;"|"&amp;L72)</f>
        <v/>
      </c>
      <c r="Q72" s="29">
        <f>IF(P72="","",COUNTIF($P$5:$P$134,P72))</f>
        <v/>
      </c>
    </row>
    <row r="73">
      <c r="A73" s="13" t="n"/>
      <c r="B73" s="13" t="n"/>
      <c r="C73" s="13" t="n"/>
      <c r="D73" s="13" t="n"/>
      <c r="E73" s="13" t="n"/>
      <c r="F73" s="13" t="n"/>
      <c r="G73" s="13" t="n"/>
      <c r="H73" s="13" t="n"/>
      <c r="I73" s="13" t="n"/>
      <c r="J73" s="13" t="n"/>
      <c r="K73" s="13" t="n"/>
      <c r="L73" s="13" t="n"/>
      <c r="M73" s="13" t="n"/>
      <c r="N73" s="15" t="n"/>
      <c r="O73" s="13" t="n"/>
      <c r="P73" s="16">
        <f>IF(A73="","",A73&amp;"|"&amp;B73&amp;"|"&amp;C73&amp;"|"&amp;D73&amp;"|"&amp;E73&amp;"|"&amp;F73&amp;"|"&amp;G73&amp;"|"&amp;H73&amp;"|"&amp;I73&amp;"|"&amp;J73&amp;"|"&amp;K73&amp;"|"&amp;L73)</f>
        <v/>
      </c>
      <c r="Q73" s="29">
        <f>IF(P73="","",COUNTIF($P$5:$P$134,P73))</f>
        <v/>
      </c>
    </row>
    <row r="74">
      <c r="A74" s="13" t="n"/>
      <c r="B74" s="13" t="n"/>
      <c r="C74" s="13" t="n"/>
      <c r="D74" s="13" t="n"/>
      <c r="E74" s="13" t="n"/>
      <c r="F74" s="13" t="n"/>
      <c r="G74" s="13" t="n"/>
      <c r="H74" s="13" t="n"/>
      <c r="I74" s="13" t="n"/>
      <c r="J74" s="13" t="n"/>
      <c r="K74" s="13" t="n"/>
      <c r="L74" s="13" t="n"/>
      <c r="M74" s="13" t="n"/>
      <c r="N74" s="15" t="n"/>
      <c r="O74" s="13" t="n"/>
      <c r="P74" s="16">
        <f>IF(A74="","",A74&amp;"|"&amp;B74&amp;"|"&amp;C74&amp;"|"&amp;D74&amp;"|"&amp;E74&amp;"|"&amp;F74&amp;"|"&amp;G74&amp;"|"&amp;H74&amp;"|"&amp;I74&amp;"|"&amp;J74&amp;"|"&amp;K74&amp;"|"&amp;L74)</f>
        <v/>
      </c>
      <c r="Q74" s="29">
        <f>IF(P74="","",COUNTIF($P$5:$P$134,P74))</f>
        <v/>
      </c>
    </row>
    <row r="75">
      <c r="A75" s="13" t="n"/>
      <c r="B75" s="13" t="n"/>
      <c r="C75" s="13" t="n"/>
      <c r="D75" s="13" t="n"/>
      <c r="E75" s="13" t="n"/>
      <c r="F75" s="13" t="n"/>
      <c r="G75" s="13" t="n"/>
      <c r="H75" s="13" t="n"/>
      <c r="I75" s="13" t="n"/>
      <c r="J75" s="13" t="n"/>
      <c r="K75" s="13" t="n"/>
      <c r="L75" s="13" t="n"/>
      <c r="M75" s="13" t="n"/>
      <c r="N75" s="15" t="n"/>
      <c r="O75" s="13" t="n"/>
      <c r="P75" s="16">
        <f>IF(A75="","",A75&amp;"|"&amp;B75&amp;"|"&amp;C75&amp;"|"&amp;D75&amp;"|"&amp;E75&amp;"|"&amp;F75&amp;"|"&amp;G75&amp;"|"&amp;H75&amp;"|"&amp;I75&amp;"|"&amp;J75&amp;"|"&amp;K75&amp;"|"&amp;L75)</f>
        <v/>
      </c>
      <c r="Q75" s="29">
        <f>IF(P75="","",COUNTIF($P$5:$P$134,P75))</f>
        <v/>
      </c>
    </row>
    <row r="76">
      <c r="A76" s="13" t="n"/>
      <c r="B76" s="13" t="n"/>
      <c r="C76" s="13" t="n"/>
      <c r="D76" s="13" t="n"/>
      <c r="E76" s="13" t="n"/>
      <c r="F76" s="13" t="n"/>
      <c r="G76" s="13" t="n"/>
      <c r="H76" s="13" t="n"/>
      <c r="I76" s="13" t="n"/>
      <c r="J76" s="13" t="n"/>
      <c r="K76" s="13" t="n"/>
      <c r="L76" s="13" t="n"/>
      <c r="M76" s="13" t="n"/>
      <c r="N76" s="15" t="n"/>
      <c r="O76" s="13" t="n"/>
      <c r="P76" s="16">
        <f>IF(A76="","",A76&amp;"|"&amp;B76&amp;"|"&amp;C76&amp;"|"&amp;D76&amp;"|"&amp;E76&amp;"|"&amp;F76&amp;"|"&amp;G76&amp;"|"&amp;H76&amp;"|"&amp;I76&amp;"|"&amp;J76&amp;"|"&amp;K76&amp;"|"&amp;L76)</f>
        <v/>
      </c>
      <c r="Q76" s="29">
        <f>IF(P76="","",COUNTIF($P$5:$P$134,P76))</f>
        <v/>
      </c>
    </row>
    <row r="77">
      <c r="A77" s="13" t="n"/>
      <c r="B77" s="13" t="n"/>
      <c r="C77" s="13" t="n"/>
      <c r="D77" s="13" t="n"/>
      <c r="E77" s="13" t="n"/>
      <c r="F77" s="13" t="n"/>
      <c r="G77" s="13" t="n"/>
      <c r="H77" s="13" t="n"/>
      <c r="I77" s="13" t="n"/>
      <c r="J77" s="13" t="n"/>
      <c r="K77" s="13" t="n"/>
      <c r="L77" s="13" t="n"/>
      <c r="M77" s="13" t="n"/>
      <c r="N77" s="15" t="n"/>
      <c r="O77" s="13" t="n"/>
      <c r="P77" s="16">
        <f>IF(A77="","",A77&amp;"|"&amp;B77&amp;"|"&amp;C77&amp;"|"&amp;D77&amp;"|"&amp;E77&amp;"|"&amp;F77&amp;"|"&amp;G77&amp;"|"&amp;H77&amp;"|"&amp;I77&amp;"|"&amp;J77&amp;"|"&amp;K77&amp;"|"&amp;L77)</f>
        <v/>
      </c>
      <c r="Q77" s="29">
        <f>IF(P77="","",COUNTIF($P$5:$P$134,P77))</f>
        <v/>
      </c>
    </row>
    <row r="78">
      <c r="A78" s="13" t="n"/>
      <c r="B78" s="13" t="n"/>
      <c r="C78" s="13" t="n"/>
      <c r="D78" s="13" t="n"/>
      <c r="E78" s="13" t="n"/>
      <c r="F78" s="13" t="n"/>
      <c r="G78" s="13" t="n"/>
      <c r="H78" s="13" t="n"/>
      <c r="I78" s="13" t="n"/>
      <c r="J78" s="13" t="n"/>
      <c r="K78" s="13" t="n"/>
      <c r="L78" s="13" t="n"/>
      <c r="M78" s="13" t="n"/>
      <c r="N78" s="15" t="n"/>
      <c r="O78" s="13" t="n"/>
      <c r="P78" s="16">
        <f>IF(A78="","",A78&amp;"|"&amp;B78&amp;"|"&amp;C78&amp;"|"&amp;D78&amp;"|"&amp;E78&amp;"|"&amp;F78&amp;"|"&amp;G78&amp;"|"&amp;H78&amp;"|"&amp;I78&amp;"|"&amp;J78&amp;"|"&amp;K78&amp;"|"&amp;L78)</f>
        <v/>
      </c>
      <c r="Q78" s="29">
        <f>IF(P78="","",COUNTIF($P$5:$P$134,P78))</f>
        <v/>
      </c>
    </row>
    <row r="79">
      <c r="A79" s="13" t="n"/>
      <c r="B79" s="13" t="n"/>
      <c r="C79" s="13" t="n"/>
      <c r="D79" s="13" t="n"/>
      <c r="E79" s="13" t="n"/>
      <c r="F79" s="13" t="n"/>
      <c r="G79" s="13" t="n"/>
      <c r="H79" s="13" t="n"/>
      <c r="I79" s="13" t="n"/>
      <c r="J79" s="13" t="n"/>
      <c r="K79" s="13" t="n"/>
      <c r="L79" s="13" t="n"/>
      <c r="M79" s="13" t="n"/>
      <c r="N79" s="15" t="n"/>
      <c r="O79" s="13" t="n"/>
      <c r="P79" s="16">
        <f>IF(A79="","",A79&amp;"|"&amp;B79&amp;"|"&amp;C79&amp;"|"&amp;D79&amp;"|"&amp;E79&amp;"|"&amp;F79&amp;"|"&amp;G79&amp;"|"&amp;H79&amp;"|"&amp;I79&amp;"|"&amp;J79&amp;"|"&amp;K79&amp;"|"&amp;L79)</f>
        <v/>
      </c>
      <c r="Q79" s="29">
        <f>IF(P79="","",COUNTIF($P$5:$P$134,P79))</f>
        <v/>
      </c>
    </row>
    <row r="80">
      <c r="A80" s="13" t="n"/>
      <c r="B80" s="13" t="n"/>
      <c r="C80" s="13" t="n"/>
      <c r="D80" s="13" t="n"/>
      <c r="E80" s="13" t="n"/>
      <c r="F80" s="13" t="n"/>
      <c r="G80" s="13" t="n"/>
      <c r="H80" s="13" t="n"/>
      <c r="I80" s="13" t="n"/>
      <c r="J80" s="13" t="n"/>
      <c r="K80" s="13" t="n"/>
      <c r="L80" s="13" t="n"/>
      <c r="M80" s="13" t="n"/>
      <c r="N80" s="15" t="n"/>
      <c r="O80" s="13" t="n"/>
      <c r="P80" s="16">
        <f>IF(A80="","",A80&amp;"|"&amp;B80&amp;"|"&amp;C80&amp;"|"&amp;D80&amp;"|"&amp;E80&amp;"|"&amp;F80&amp;"|"&amp;G80&amp;"|"&amp;H80&amp;"|"&amp;I80&amp;"|"&amp;J80&amp;"|"&amp;K80&amp;"|"&amp;L80)</f>
        <v/>
      </c>
      <c r="Q80" s="29">
        <f>IF(P80="","",COUNTIF($P$5:$P$134,P80))</f>
        <v/>
      </c>
    </row>
    <row r="81">
      <c r="A81" s="13" t="n"/>
      <c r="B81" s="13" t="n"/>
      <c r="C81" s="13" t="n"/>
      <c r="D81" s="13" t="n"/>
      <c r="E81" s="13" t="n"/>
      <c r="F81" s="13" t="n"/>
      <c r="G81" s="13" t="n"/>
      <c r="H81" s="13" t="n"/>
      <c r="I81" s="13" t="n"/>
      <c r="J81" s="13" t="n"/>
      <c r="K81" s="13" t="n"/>
      <c r="L81" s="13" t="n"/>
      <c r="M81" s="13" t="n"/>
      <c r="N81" s="15" t="n"/>
      <c r="O81" s="13" t="n"/>
      <c r="P81" s="16">
        <f>IF(A81="","",A81&amp;"|"&amp;B81&amp;"|"&amp;C81&amp;"|"&amp;D81&amp;"|"&amp;E81&amp;"|"&amp;F81&amp;"|"&amp;G81&amp;"|"&amp;H81&amp;"|"&amp;I81&amp;"|"&amp;J81&amp;"|"&amp;K81&amp;"|"&amp;L81)</f>
        <v/>
      </c>
      <c r="Q81" s="29">
        <f>IF(P81="","",COUNTIF($P$5:$P$134,P81))</f>
        <v/>
      </c>
    </row>
    <row r="82">
      <c r="A82" s="13" t="n"/>
      <c r="B82" s="13" t="n"/>
      <c r="C82" s="13" t="n"/>
      <c r="D82" s="13" t="n"/>
      <c r="E82" s="13" t="n"/>
      <c r="F82" s="13" t="n"/>
      <c r="G82" s="13" t="n"/>
      <c r="H82" s="13" t="n"/>
      <c r="I82" s="13" t="n"/>
      <c r="J82" s="13" t="n"/>
      <c r="K82" s="13" t="n"/>
      <c r="L82" s="13" t="n"/>
      <c r="M82" s="13" t="n"/>
      <c r="N82" s="15" t="n"/>
      <c r="O82" s="13" t="n"/>
      <c r="P82" s="16">
        <f>IF(A82="","",A82&amp;"|"&amp;B82&amp;"|"&amp;C82&amp;"|"&amp;D82&amp;"|"&amp;E82&amp;"|"&amp;F82&amp;"|"&amp;G82&amp;"|"&amp;H82&amp;"|"&amp;I82&amp;"|"&amp;J82&amp;"|"&amp;K82&amp;"|"&amp;L82)</f>
        <v/>
      </c>
      <c r="Q82" s="29">
        <f>IF(P82="","",COUNTIF($P$5:$P$134,P82))</f>
        <v/>
      </c>
    </row>
    <row r="83">
      <c r="A83" s="13" t="n"/>
      <c r="B83" s="13" t="n"/>
      <c r="C83" s="13" t="n"/>
      <c r="D83" s="13" t="n"/>
      <c r="E83" s="13" t="n"/>
      <c r="F83" s="13" t="n"/>
      <c r="G83" s="13" t="n"/>
      <c r="H83" s="13" t="n"/>
      <c r="I83" s="13" t="n"/>
      <c r="J83" s="13" t="n"/>
      <c r="K83" s="13" t="n"/>
      <c r="L83" s="13" t="n"/>
      <c r="M83" s="13" t="n"/>
      <c r="N83" s="15" t="n"/>
      <c r="O83" s="13" t="n"/>
      <c r="P83" s="16">
        <f>IF(A83="","",A83&amp;"|"&amp;B83&amp;"|"&amp;C83&amp;"|"&amp;D83&amp;"|"&amp;E83&amp;"|"&amp;F83&amp;"|"&amp;G83&amp;"|"&amp;H83&amp;"|"&amp;I83&amp;"|"&amp;J83&amp;"|"&amp;K83&amp;"|"&amp;L83)</f>
        <v/>
      </c>
      <c r="Q83" s="29">
        <f>IF(P83="","",COUNTIF($P$5:$P$134,P83))</f>
        <v/>
      </c>
    </row>
    <row r="84">
      <c r="A84" s="13" t="n"/>
      <c r="B84" s="13" t="n"/>
      <c r="C84" s="13" t="n"/>
      <c r="D84" s="13" t="n"/>
      <c r="E84" s="13" t="n"/>
      <c r="F84" s="13" t="n"/>
      <c r="G84" s="13" t="n"/>
      <c r="H84" s="13" t="n"/>
      <c r="I84" s="13" t="n"/>
      <c r="J84" s="13" t="n"/>
      <c r="K84" s="13" t="n"/>
      <c r="L84" s="13" t="n"/>
      <c r="M84" s="13" t="n"/>
      <c r="N84" s="15" t="n"/>
      <c r="O84" s="13" t="n"/>
      <c r="P84" s="16">
        <f>IF(A84="","",A84&amp;"|"&amp;B84&amp;"|"&amp;C84&amp;"|"&amp;D84&amp;"|"&amp;E84&amp;"|"&amp;F84&amp;"|"&amp;G84&amp;"|"&amp;H84&amp;"|"&amp;I84&amp;"|"&amp;J84&amp;"|"&amp;K84&amp;"|"&amp;L84)</f>
        <v/>
      </c>
      <c r="Q84" s="29">
        <f>IF(P84="","",COUNTIF($P$5:$P$134,P84))</f>
        <v/>
      </c>
    </row>
    <row r="85">
      <c r="A85" s="13" t="n"/>
      <c r="B85" s="13" t="n"/>
      <c r="C85" s="13" t="n"/>
      <c r="D85" s="13" t="n"/>
      <c r="E85" s="13" t="n"/>
      <c r="F85" s="13" t="n"/>
      <c r="G85" s="13" t="n"/>
      <c r="H85" s="13" t="n"/>
      <c r="I85" s="13" t="n"/>
      <c r="J85" s="13" t="n"/>
      <c r="K85" s="13" t="n"/>
      <c r="L85" s="13" t="n"/>
      <c r="M85" s="13" t="n"/>
      <c r="N85" s="15" t="n"/>
      <c r="O85" s="13" t="n"/>
      <c r="P85" s="16">
        <f>IF(A85="","",A85&amp;"|"&amp;B85&amp;"|"&amp;C85&amp;"|"&amp;D85&amp;"|"&amp;E85&amp;"|"&amp;F85&amp;"|"&amp;G85&amp;"|"&amp;H85&amp;"|"&amp;I85&amp;"|"&amp;J85&amp;"|"&amp;K85&amp;"|"&amp;L85)</f>
        <v/>
      </c>
      <c r="Q85" s="29">
        <f>IF(P85="","",COUNTIF($P$5:$P$134,P85))</f>
        <v/>
      </c>
    </row>
    <row r="86">
      <c r="A86" s="13" t="n"/>
      <c r="B86" s="13" t="n"/>
      <c r="C86" s="13" t="n"/>
      <c r="D86" s="13" t="n"/>
      <c r="E86" s="13" t="n"/>
      <c r="F86" s="13" t="n"/>
      <c r="G86" s="13" t="n"/>
      <c r="H86" s="13" t="n"/>
      <c r="I86" s="13" t="n"/>
      <c r="J86" s="13" t="n"/>
      <c r="K86" s="13" t="n"/>
      <c r="L86" s="13" t="n"/>
      <c r="M86" s="13" t="n"/>
      <c r="N86" s="15" t="n"/>
      <c r="O86" s="13" t="n"/>
      <c r="P86" s="16">
        <f>IF(A86="","",A86&amp;"|"&amp;B86&amp;"|"&amp;C86&amp;"|"&amp;D86&amp;"|"&amp;E86&amp;"|"&amp;F86&amp;"|"&amp;G86&amp;"|"&amp;H86&amp;"|"&amp;I86&amp;"|"&amp;J86&amp;"|"&amp;K86&amp;"|"&amp;L86)</f>
        <v/>
      </c>
      <c r="Q86" s="29">
        <f>IF(P86="","",COUNTIF($P$5:$P$134,P86))</f>
        <v/>
      </c>
    </row>
    <row r="87">
      <c r="A87" s="13" t="n"/>
      <c r="B87" s="13" t="n"/>
      <c r="C87" s="13" t="n"/>
      <c r="D87" s="13" t="n"/>
      <c r="E87" s="13" t="n"/>
      <c r="F87" s="13" t="n"/>
      <c r="G87" s="13" t="n"/>
      <c r="H87" s="13" t="n"/>
      <c r="I87" s="13" t="n"/>
      <c r="J87" s="13" t="n"/>
      <c r="K87" s="13" t="n"/>
      <c r="L87" s="13" t="n"/>
      <c r="M87" s="13" t="n"/>
      <c r="N87" s="15" t="n"/>
      <c r="O87" s="13" t="n"/>
      <c r="P87" s="16">
        <f>IF(A87="","",A87&amp;"|"&amp;B87&amp;"|"&amp;C87&amp;"|"&amp;D87&amp;"|"&amp;E87&amp;"|"&amp;F87&amp;"|"&amp;G87&amp;"|"&amp;H87&amp;"|"&amp;I87&amp;"|"&amp;J87&amp;"|"&amp;K87&amp;"|"&amp;L87)</f>
        <v/>
      </c>
      <c r="Q87" s="29">
        <f>IF(P87="","",COUNTIF($P$5:$P$134,P87))</f>
        <v/>
      </c>
    </row>
    <row r="88">
      <c r="A88" s="13" t="n"/>
      <c r="B88" s="13" t="n"/>
      <c r="C88" s="13" t="n"/>
      <c r="D88" s="13" t="n"/>
      <c r="E88" s="13" t="n"/>
      <c r="F88" s="13" t="n"/>
      <c r="G88" s="13" t="n"/>
      <c r="H88" s="13" t="n"/>
      <c r="I88" s="13" t="n"/>
      <c r="J88" s="13" t="n"/>
      <c r="K88" s="13" t="n"/>
      <c r="L88" s="13" t="n"/>
      <c r="M88" s="13" t="n"/>
      <c r="N88" s="15" t="n"/>
      <c r="O88" s="13" t="n"/>
      <c r="P88" s="16">
        <f>IF(A88="","",A88&amp;"|"&amp;B88&amp;"|"&amp;C88&amp;"|"&amp;D88&amp;"|"&amp;E88&amp;"|"&amp;F88&amp;"|"&amp;G88&amp;"|"&amp;H88&amp;"|"&amp;I88&amp;"|"&amp;J88&amp;"|"&amp;K88&amp;"|"&amp;L88)</f>
        <v/>
      </c>
      <c r="Q88" s="29">
        <f>IF(P88="","",COUNTIF($P$5:$P$134,P88))</f>
        <v/>
      </c>
    </row>
    <row r="89">
      <c r="A89" s="13" t="n"/>
      <c r="B89" s="13" t="n"/>
      <c r="C89" s="13" t="n"/>
      <c r="D89" s="13" t="n"/>
      <c r="E89" s="13" t="n"/>
      <c r="F89" s="13" t="n"/>
      <c r="G89" s="13" t="n"/>
      <c r="H89" s="13" t="n"/>
      <c r="I89" s="13" t="n"/>
      <c r="J89" s="13" t="n"/>
      <c r="K89" s="13" t="n"/>
      <c r="L89" s="13" t="n"/>
      <c r="M89" s="13" t="n"/>
      <c r="N89" s="15" t="n"/>
      <c r="O89" s="13" t="n"/>
      <c r="P89" s="16">
        <f>IF(A89="","",A89&amp;"|"&amp;B89&amp;"|"&amp;C89&amp;"|"&amp;D89&amp;"|"&amp;E89&amp;"|"&amp;F89&amp;"|"&amp;G89&amp;"|"&amp;H89&amp;"|"&amp;I89&amp;"|"&amp;J89&amp;"|"&amp;K89&amp;"|"&amp;L89)</f>
        <v/>
      </c>
      <c r="Q89" s="29">
        <f>IF(P89="","",COUNTIF($P$5:$P$134,P89))</f>
        <v/>
      </c>
    </row>
    <row r="90">
      <c r="A90" s="13" t="n"/>
      <c r="B90" s="13" t="n"/>
      <c r="C90" s="13" t="n"/>
      <c r="D90" s="13" t="n"/>
      <c r="E90" s="13" t="n"/>
      <c r="F90" s="13" t="n"/>
      <c r="G90" s="13" t="n"/>
      <c r="H90" s="13" t="n"/>
      <c r="I90" s="13" t="n"/>
      <c r="J90" s="13" t="n"/>
      <c r="K90" s="13" t="n"/>
      <c r="L90" s="13" t="n"/>
      <c r="M90" s="13" t="n"/>
      <c r="N90" s="15" t="n"/>
      <c r="O90" s="13" t="n"/>
      <c r="P90" s="16">
        <f>IF(A90="","",A90&amp;"|"&amp;B90&amp;"|"&amp;C90&amp;"|"&amp;D90&amp;"|"&amp;E90&amp;"|"&amp;F90&amp;"|"&amp;G90&amp;"|"&amp;H90&amp;"|"&amp;I90&amp;"|"&amp;J90&amp;"|"&amp;K90&amp;"|"&amp;L90)</f>
        <v/>
      </c>
      <c r="Q90" s="29">
        <f>IF(P90="","",COUNTIF($P$5:$P$134,P90))</f>
        <v/>
      </c>
    </row>
    <row r="91">
      <c r="A91" s="13" t="n"/>
      <c r="B91" s="13" t="n"/>
      <c r="C91" s="13" t="n"/>
      <c r="D91" s="13" t="n"/>
      <c r="E91" s="13" t="n"/>
      <c r="F91" s="13" t="n"/>
      <c r="G91" s="13" t="n"/>
      <c r="H91" s="13" t="n"/>
      <c r="I91" s="13" t="n"/>
      <c r="J91" s="13" t="n"/>
      <c r="K91" s="13" t="n"/>
      <c r="L91" s="13" t="n"/>
      <c r="M91" s="13" t="n"/>
      <c r="N91" s="15" t="n"/>
      <c r="O91" s="13" t="n"/>
      <c r="P91" s="16">
        <f>IF(A91="","",A91&amp;"|"&amp;B91&amp;"|"&amp;C91&amp;"|"&amp;D91&amp;"|"&amp;E91&amp;"|"&amp;F91&amp;"|"&amp;G91&amp;"|"&amp;H91&amp;"|"&amp;I91&amp;"|"&amp;J91&amp;"|"&amp;K91&amp;"|"&amp;L91)</f>
        <v/>
      </c>
      <c r="Q91" s="29">
        <f>IF(P91="","",COUNTIF($P$5:$P$134,P91))</f>
        <v/>
      </c>
    </row>
    <row r="92">
      <c r="A92" s="13" t="n"/>
      <c r="B92" s="13" t="n"/>
      <c r="C92" s="13" t="n"/>
      <c r="D92" s="13" t="n"/>
      <c r="E92" s="13" t="n"/>
      <c r="F92" s="13" t="n"/>
      <c r="G92" s="13" t="n"/>
      <c r="H92" s="13" t="n"/>
      <c r="I92" s="13" t="n"/>
      <c r="J92" s="13" t="n"/>
      <c r="K92" s="13" t="n"/>
      <c r="L92" s="13" t="n"/>
      <c r="M92" s="13" t="n"/>
      <c r="N92" s="15" t="n"/>
      <c r="O92" s="13" t="n"/>
      <c r="P92" s="16">
        <f>IF(A92="","",A92&amp;"|"&amp;B92&amp;"|"&amp;C92&amp;"|"&amp;D92&amp;"|"&amp;E92&amp;"|"&amp;F92&amp;"|"&amp;G92&amp;"|"&amp;H92&amp;"|"&amp;I92&amp;"|"&amp;J92&amp;"|"&amp;K92&amp;"|"&amp;L92)</f>
        <v/>
      </c>
      <c r="Q92" s="29">
        <f>IF(P92="","",COUNTIF($P$5:$P$134,P92))</f>
        <v/>
      </c>
    </row>
    <row r="93">
      <c r="A93" s="13" t="n"/>
      <c r="B93" s="13" t="n"/>
      <c r="C93" s="13" t="n"/>
      <c r="D93" s="13" t="n"/>
      <c r="E93" s="13" t="n"/>
      <c r="F93" s="13" t="n"/>
      <c r="G93" s="13" t="n"/>
      <c r="H93" s="13" t="n"/>
      <c r="I93" s="13" t="n"/>
      <c r="J93" s="13" t="n"/>
      <c r="K93" s="13" t="n"/>
      <c r="L93" s="13" t="n"/>
      <c r="M93" s="13" t="n"/>
      <c r="N93" s="15" t="n"/>
      <c r="O93" s="13" t="n"/>
      <c r="P93" s="16">
        <f>IF(A93="","",A93&amp;"|"&amp;B93&amp;"|"&amp;C93&amp;"|"&amp;D93&amp;"|"&amp;E93&amp;"|"&amp;F93&amp;"|"&amp;G93&amp;"|"&amp;H93&amp;"|"&amp;I93&amp;"|"&amp;J93&amp;"|"&amp;K93&amp;"|"&amp;L93)</f>
        <v/>
      </c>
      <c r="Q93" s="29">
        <f>IF(P93="","",COUNTIF($P$5:$P$134,P93))</f>
        <v/>
      </c>
    </row>
    <row r="94">
      <c r="A94" s="13" t="n"/>
      <c r="B94" s="13" t="n"/>
      <c r="C94" s="13" t="n"/>
      <c r="D94" s="13" t="n"/>
      <c r="E94" s="13" t="n"/>
      <c r="F94" s="13" t="n"/>
      <c r="G94" s="13" t="n"/>
      <c r="H94" s="13" t="n"/>
      <c r="I94" s="13" t="n"/>
      <c r="J94" s="13" t="n"/>
      <c r="K94" s="13" t="n"/>
      <c r="L94" s="13" t="n"/>
      <c r="M94" s="13" t="n"/>
      <c r="N94" s="15" t="n"/>
      <c r="O94" s="13" t="n"/>
      <c r="P94" s="16">
        <f>IF(A94="","",A94&amp;"|"&amp;B94&amp;"|"&amp;C94&amp;"|"&amp;D94&amp;"|"&amp;E94&amp;"|"&amp;F94&amp;"|"&amp;G94&amp;"|"&amp;H94&amp;"|"&amp;I94&amp;"|"&amp;J94&amp;"|"&amp;K94&amp;"|"&amp;L94)</f>
        <v/>
      </c>
      <c r="Q94" s="29">
        <f>IF(P94="","",COUNTIF($P$5:$P$134,P94))</f>
        <v/>
      </c>
    </row>
    <row r="95">
      <c r="A95" s="13" t="n"/>
      <c r="B95" s="13" t="n"/>
      <c r="C95" s="13" t="n"/>
      <c r="D95" s="13" t="n"/>
      <c r="E95" s="13" t="n"/>
      <c r="F95" s="13" t="n"/>
      <c r="G95" s="13" t="n"/>
      <c r="H95" s="13" t="n"/>
      <c r="I95" s="13" t="n"/>
      <c r="J95" s="13" t="n"/>
      <c r="K95" s="13" t="n"/>
      <c r="L95" s="13" t="n"/>
      <c r="M95" s="13" t="n"/>
      <c r="N95" s="15" t="n"/>
      <c r="O95" s="13" t="n"/>
      <c r="P95" s="16">
        <f>IF(A95="","",A95&amp;"|"&amp;B95&amp;"|"&amp;C95&amp;"|"&amp;D95&amp;"|"&amp;E95&amp;"|"&amp;F95&amp;"|"&amp;G95&amp;"|"&amp;H95&amp;"|"&amp;I95&amp;"|"&amp;J95&amp;"|"&amp;K95&amp;"|"&amp;L95)</f>
        <v/>
      </c>
      <c r="Q95" s="29">
        <f>IF(P95="","",COUNTIF($P$5:$P$134,P95))</f>
        <v/>
      </c>
    </row>
    <row r="96">
      <c r="A96" s="13" t="n"/>
      <c r="B96" s="13" t="n"/>
      <c r="C96" s="13" t="n"/>
      <c r="D96" s="13" t="n"/>
      <c r="E96" s="13" t="n"/>
      <c r="F96" s="13" t="n"/>
      <c r="G96" s="13" t="n"/>
      <c r="H96" s="13" t="n"/>
      <c r="I96" s="13" t="n"/>
      <c r="J96" s="13" t="n"/>
      <c r="K96" s="13" t="n"/>
      <c r="L96" s="13" t="n"/>
      <c r="M96" s="13" t="n"/>
      <c r="N96" s="15" t="n"/>
      <c r="O96" s="13" t="n"/>
      <c r="P96" s="16">
        <f>IF(A96="","",A96&amp;"|"&amp;B96&amp;"|"&amp;C96&amp;"|"&amp;D96&amp;"|"&amp;E96&amp;"|"&amp;F96&amp;"|"&amp;G96&amp;"|"&amp;H96&amp;"|"&amp;I96&amp;"|"&amp;J96&amp;"|"&amp;K96&amp;"|"&amp;L96)</f>
        <v/>
      </c>
      <c r="Q96" s="29">
        <f>IF(P96="","",COUNTIF($P$5:$P$134,P96))</f>
        <v/>
      </c>
    </row>
    <row r="97">
      <c r="A97" s="13" t="n"/>
      <c r="B97" s="13" t="n"/>
      <c r="C97" s="13" t="n"/>
      <c r="D97" s="13" t="n"/>
      <c r="E97" s="13" t="n"/>
      <c r="F97" s="13" t="n"/>
      <c r="G97" s="13" t="n"/>
      <c r="H97" s="13" t="n"/>
      <c r="I97" s="13" t="n"/>
      <c r="J97" s="13" t="n"/>
      <c r="K97" s="13" t="n"/>
      <c r="L97" s="13" t="n"/>
      <c r="M97" s="13" t="n"/>
      <c r="N97" s="15" t="n"/>
      <c r="O97" s="13" t="n"/>
      <c r="P97" s="16">
        <f>IF(A97="","",A97&amp;"|"&amp;B97&amp;"|"&amp;C97&amp;"|"&amp;D97&amp;"|"&amp;E97&amp;"|"&amp;F97&amp;"|"&amp;G97&amp;"|"&amp;H97&amp;"|"&amp;I97&amp;"|"&amp;J97&amp;"|"&amp;K97&amp;"|"&amp;L97)</f>
        <v/>
      </c>
      <c r="Q97" s="29">
        <f>IF(P97="","",COUNTIF($P$5:$P$134,P97))</f>
        <v/>
      </c>
    </row>
    <row r="98">
      <c r="A98" s="13" t="n"/>
      <c r="B98" s="13" t="n"/>
      <c r="C98" s="13" t="n"/>
      <c r="D98" s="13" t="n"/>
      <c r="E98" s="13" t="n"/>
      <c r="F98" s="13" t="n"/>
      <c r="G98" s="13" t="n"/>
      <c r="H98" s="13" t="n"/>
      <c r="I98" s="13" t="n"/>
      <c r="J98" s="13" t="n"/>
      <c r="K98" s="13" t="n"/>
      <c r="L98" s="13" t="n"/>
      <c r="M98" s="13" t="n"/>
      <c r="N98" s="15" t="n"/>
      <c r="O98" s="13" t="n"/>
      <c r="P98" s="16">
        <f>IF(A98="","",A98&amp;"|"&amp;B98&amp;"|"&amp;C98&amp;"|"&amp;D98&amp;"|"&amp;E98&amp;"|"&amp;F98&amp;"|"&amp;G98&amp;"|"&amp;H98&amp;"|"&amp;I98&amp;"|"&amp;J98&amp;"|"&amp;K98&amp;"|"&amp;L98)</f>
        <v/>
      </c>
      <c r="Q98" s="29">
        <f>IF(P98="","",COUNTIF($P$5:$P$134,P98))</f>
        <v/>
      </c>
    </row>
    <row r="99">
      <c r="A99" s="13" t="n"/>
      <c r="B99" s="13" t="n"/>
      <c r="C99" s="13" t="n"/>
      <c r="D99" s="13" t="n"/>
      <c r="E99" s="13" t="n"/>
      <c r="F99" s="13" t="n"/>
      <c r="G99" s="13" t="n"/>
      <c r="H99" s="13" t="n"/>
      <c r="I99" s="13" t="n"/>
      <c r="J99" s="13" t="n"/>
      <c r="K99" s="13" t="n"/>
      <c r="L99" s="13" t="n"/>
      <c r="M99" s="13" t="n"/>
      <c r="N99" s="15" t="n"/>
      <c r="O99" s="13" t="n"/>
      <c r="P99" s="16">
        <f>IF(A99="","",A99&amp;"|"&amp;B99&amp;"|"&amp;C99&amp;"|"&amp;D99&amp;"|"&amp;E99&amp;"|"&amp;F99&amp;"|"&amp;G99&amp;"|"&amp;H99&amp;"|"&amp;I99&amp;"|"&amp;J99&amp;"|"&amp;K99&amp;"|"&amp;L99)</f>
        <v/>
      </c>
      <c r="Q99" s="29">
        <f>IF(P99="","",COUNTIF($P$5:$P$134,P99))</f>
        <v/>
      </c>
    </row>
    <row r="100">
      <c r="A100" s="13" t="n"/>
      <c r="B100" s="13" t="n"/>
      <c r="C100" s="13" t="n"/>
      <c r="D100" s="13" t="n"/>
      <c r="E100" s="13" t="n"/>
      <c r="F100" s="13" t="n"/>
      <c r="G100" s="13" t="n"/>
      <c r="H100" s="13" t="n"/>
      <c r="I100" s="13" t="n"/>
      <c r="J100" s="13" t="n"/>
      <c r="K100" s="13" t="n"/>
      <c r="L100" s="13" t="n"/>
      <c r="M100" s="13" t="n"/>
      <c r="N100" s="15" t="n"/>
      <c r="O100" s="13" t="n"/>
      <c r="P100" s="16">
        <f>IF(A100="","",A100&amp;"|"&amp;B100&amp;"|"&amp;C100&amp;"|"&amp;D100&amp;"|"&amp;E100&amp;"|"&amp;F100&amp;"|"&amp;G100&amp;"|"&amp;H100&amp;"|"&amp;I100&amp;"|"&amp;J100&amp;"|"&amp;K100&amp;"|"&amp;L100)</f>
        <v/>
      </c>
      <c r="Q100" s="29">
        <f>IF(P100="","",COUNTIF($P$5:$P$134,P100))</f>
        <v/>
      </c>
    </row>
    <row r="101">
      <c r="A101" s="13" t="n"/>
      <c r="B101" s="13" t="n"/>
      <c r="C101" s="13" t="n"/>
      <c r="D101" s="13" t="n"/>
      <c r="E101" s="13" t="n"/>
      <c r="F101" s="13" t="n"/>
      <c r="G101" s="13" t="n"/>
      <c r="H101" s="13" t="n"/>
      <c r="I101" s="13" t="n"/>
      <c r="J101" s="13" t="n"/>
      <c r="K101" s="13" t="n"/>
      <c r="L101" s="13" t="n"/>
      <c r="M101" s="13" t="n"/>
      <c r="N101" s="15" t="n"/>
      <c r="O101" s="13" t="n"/>
      <c r="P101" s="16">
        <f>IF(A101="","",A101&amp;"|"&amp;B101&amp;"|"&amp;C101&amp;"|"&amp;D101&amp;"|"&amp;E101&amp;"|"&amp;F101&amp;"|"&amp;G101&amp;"|"&amp;H101&amp;"|"&amp;I101&amp;"|"&amp;J101&amp;"|"&amp;K101&amp;"|"&amp;L101)</f>
        <v/>
      </c>
      <c r="Q101" s="29">
        <f>IF(P101="","",COUNTIF($P$5:$P$134,P101))</f>
        <v/>
      </c>
    </row>
    <row r="102">
      <c r="A102" s="13" t="n"/>
      <c r="B102" s="13" t="n"/>
      <c r="C102" s="13" t="n"/>
      <c r="D102" s="13" t="n"/>
      <c r="E102" s="13" t="n"/>
      <c r="F102" s="13" t="n"/>
      <c r="G102" s="13" t="n"/>
      <c r="H102" s="13" t="n"/>
      <c r="I102" s="13" t="n"/>
      <c r="J102" s="13" t="n"/>
      <c r="K102" s="13" t="n"/>
      <c r="L102" s="13" t="n"/>
      <c r="M102" s="13" t="n"/>
      <c r="N102" s="15" t="n"/>
      <c r="O102" s="13" t="n"/>
      <c r="P102" s="16">
        <f>IF(A102="","",A102&amp;"|"&amp;B102&amp;"|"&amp;C102&amp;"|"&amp;D102&amp;"|"&amp;E102&amp;"|"&amp;F102&amp;"|"&amp;G102&amp;"|"&amp;H102&amp;"|"&amp;I102&amp;"|"&amp;J102&amp;"|"&amp;K102&amp;"|"&amp;L102)</f>
        <v/>
      </c>
      <c r="Q102" s="29">
        <f>IF(P102="","",COUNTIF($P$5:$P$134,P102))</f>
        <v/>
      </c>
    </row>
    <row r="103">
      <c r="A103" s="13" t="n"/>
      <c r="B103" s="13" t="n"/>
      <c r="C103" s="13" t="n"/>
      <c r="D103" s="13" t="n"/>
      <c r="E103" s="13" t="n"/>
      <c r="F103" s="13" t="n"/>
      <c r="G103" s="13" t="n"/>
      <c r="H103" s="13" t="n"/>
      <c r="I103" s="13" t="n"/>
      <c r="J103" s="13" t="n"/>
      <c r="K103" s="13" t="n"/>
      <c r="L103" s="13" t="n"/>
      <c r="M103" s="13" t="n"/>
      <c r="N103" s="15" t="n"/>
      <c r="O103" s="13" t="n"/>
      <c r="P103" s="16">
        <f>IF(A103="","",A103&amp;"|"&amp;B103&amp;"|"&amp;C103&amp;"|"&amp;D103&amp;"|"&amp;E103&amp;"|"&amp;F103&amp;"|"&amp;G103&amp;"|"&amp;H103&amp;"|"&amp;I103&amp;"|"&amp;J103&amp;"|"&amp;K103&amp;"|"&amp;L103)</f>
        <v/>
      </c>
      <c r="Q103" s="29">
        <f>IF(P103="","",COUNTIF($P$5:$P$134,P103))</f>
        <v/>
      </c>
    </row>
    <row r="104">
      <c r="A104" s="13" t="n"/>
      <c r="B104" s="13" t="n"/>
      <c r="C104" s="13" t="n"/>
      <c r="D104" s="13" t="n"/>
      <c r="E104" s="13" t="n"/>
      <c r="F104" s="13" t="n"/>
      <c r="G104" s="13" t="n"/>
      <c r="H104" s="13" t="n"/>
      <c r="I104" s="13" t="n"/>
      <c r="J104" s="13" t="n"/>
      <c r="K104" s="13" t="n"/>
      <c r="L104" s="13" t="n"/>
      <c r="M104" s="13" t="n"/>
      <c r="N104" s="15" t="n"/>
      <c r="O104" s="13" t="n"/>
      <c r="P104" s="16">
        <f>IF(A104="","",A104&amp;"|"&amp;B104&amp;"|"&amp;C104&amp;"|"&amp;D104&amp;"|"&amp;E104&amp;"|"&amp;F104&amp;"|"&amp;G104&amp;"|"&amp;H104&amp;"|"&amp;I104&amp;"|"&amp;J104&amp;"|"&amp;K104&amp;"|"&amp;L104)</f>
        <v/>
      </c>
      <c r="Q104" s="29">
        <f>IF(P104="","",COUNTIF($P$5:$P$134,P104))</f>
        <v/>
      </c>
    </row>
    <row r="105">
      <c r="A105" s="13" t="n"/>
      <c r="B105" s="13" t="n"/>
      <c r="C105" s="13" t="n"/>
      <c r="D105" s="13" t="n"/>
      <c r="E105" s="13" t="n"/>
      <c r="F105" s="13" t="n"/>
      <c r="G105" s="13" t="n"/>
      <c r="H105" s="13" t="n"/>
      <c r="I105" s="13" t="n"/>
      <c r="J105" s="13" t="n"/>
      <c r="K105" s="13" t="n"/>
      <c r="L105" s="13" t="n"/>
      <c r="M105" s="13" t="n"/>
      <c r="N105" s="15" t="n"/>
      <c r="O105" s="13" t="n"/>
      <c r="P105" s="16">
        <f>IF(A105="","",A105&amp;"|"&amp;B105&amp;"|"&amp;C105&amp;"|"&amp;D105&amp;"|"&amp;E105&amp;"|"&amp;F105&amp;"|"&amp;G105&amp;"|"&amp;H105&amp;"|"&amp;I105&amp;"|"&amp;J105&amp;"|"&amp;K105&amp;"|"&amp;L105)</f>
        <v/>
      </c>
      <c r="Q105" s="29">
        <f>IF(P105="","",COUNTIF($P$5:$P$134,P105))</f>
        <v/>
      </c>
    </row>
    <row r="106">
      <c r="A106" s="13" t="n"/>
      <c r="B106" s="13" t="n"/>
      <c r="C106" s="13" t="n"/>
      <c r="D106" s="13" t="n"/>
      <c r="E106" s="13" t="n"/>
      <c r="F106" s="13" t="n"/>
      <c r="G106" s="13" t="n"/>
      <c r="H106" s="13" t="n"/>
      <c r="I106" s="13" t="n"/>
      <c r="J106" s="13" t="n"/>
      <c r="K106" s="13" t="n"/>
      <c r="L106" s="13" t="n"/>
      <c r="M106" s="13" t="n"/>
      <c r="N106" s="15" t="n"/>
      <c r="O106" s="13" t="n"/>
      <c r="P106" s="16">
        <f>IF(A106="","",A106&amp;"|"&amp;B106&amp;"|"&amp;C106&amp;"|"&amp;D106&amp;"|"&amp;E106&amp;"|"&amp;F106&amp;"|"&amp;G106&amp;"|"&amp;H106&amp;"|"&amp;I106&amp;"|"&amp;J106&amp;"|"&amp;K106&amp;"|"&amp;L106)</f>
        <v/>
      </c>
      <c r="Q106" s="29">
        <f>IF(P106="","",COUNTIF($P$5:$P$134,P106))</f>
        <v/>
      </c>
    </row>
    <row r="107">
      <c r="A107" s="13" t="n"/>
      <c r="B107" s="13" t="n"/>
      <c r="C107" s="13" t="n"/>
      <c r="D107" s="13" t="n"/>
      <c r="E107" s="13" t="n"/>
      <c r="F107" s="13" t="n"/>
      <c r="G107" s="13" t="n"/>
      <c r="H107" s="13" t="n"/>
      <c r="I107" s="13" t="n"/>
      <c r="J107" s="13" t="n"/>
      <c r="K107" s="13" t="n"/>
      <c r="L107" s="13" t="n"/>
      <c r="M107" s="13" t="n"/>
      <c r="N107" s="15" t="n"/>
      <c r="O107" s="13" t="n"/>
      <c r="P107" s="16">
        <f>IF(A107="","",A107&amp;"|"&amp;B107&amp;"|"&amp;C107&amp;"|"&amp;D107&amp;"|"&amp;E107&amp;"|"&amp;F107&amp;"|"&amp;G107&amp;"|"&amp;H107&amp;"|"&amp;I107&amp;"|"&amp;J107&amp;"|"&amp;K107&amp;"|"&amp;L107)</f>
        <v/>
      </c>
      <c r="Q107" s="29">
        <f>IF(P107="","",COUNTIF($P$5:$P$134,P107))</f>
        <v/>
      </c>
    </row>
    <row r="108">
      <c r="A108" s="13" t="n"/>
      <c r="B108" s="13" t="n"/>
      <c r="C108" s="13" t="n"/>
      <c r="D108" s="13" t="n"/>
      <c r="E108" s="13" t="n"/>
      <c r="F108" s="13" t="n"/>
      <c r="G108" s="13" t="n"/>
      <c r="H108" s="13" t="n"/>
      <c r="I108" s="13" t="n"/>
      <c r="J108" s="13" t="n"/>
      <c r="K108" s="13" t="n"/>
      <c r="L108" s="13" t="n"/>
      <c r="M108" s="13" t="n"/>
      <c r="N108" s="15" t="n"/>
      <c r="O108" s="13" t="n"/>
      <c r="P108" s="16">
        <f>IF(A108="","",A108&amp;"|"&amp;B108&amp;"|"&amp;C108&amp;"|"&amp;D108&amp;"|"&amp;E108&amp;"|"&amp;F108&amp;"|"&amp;G108&amp;"|"&amp;H108&amp;"|"&amp;I108&amp;"|"&amp;J108&amp;"|"&amp;K108&amp;"|"&amp;L108)</f>
        <v/>
      </c>
      <c r="Q108" s="29">
        <f>IF(P108="","",COUNTIF($P$5:$P$134,P108))</f>
        <v/>
      </c>
    </row>
    <row r="109">
      <c r="A109" s="13" t="n"/>
      <c r="B109" s="13" t="n"/>
      <c r="C109" s="13" t="n"/>
      <c r="D109" s="13" t="n"/>
      <c r="E109" s="13" t="n"/>
      <c r="F109" s="13" t="n"/>
      <c r="G109" s="13" t="n"/>
      <c r="H109" s="13" t="n"/>
      <c r="I109" s="13" t="n"/>
      <c r="J109" s="13" t="n"/>
      <c r="K109" s="13" t="n"/>
      <c r="L109" s="13" t="n"/>
      <c r="M109" s="13" t="n"/>
      <c r="N109" s="15" t="n"/>
      <c r="O109" s="13" t="n"/>
      <c r="P109" s="16">
        <f>IF(A109="","",A109&amp;"|"&amp;B109&amp;"|"&amp;C109&amp;"|"&amp;D109&amp;"|"&amp;E109&amp;"|"&amp;F109&amp;"|"&amp;G109&amp;"|"&amp;H109&amp;"|"&amp;I109&amp;"|"&amp;J109&amp;"|"&amp;K109&amp;"|"&amp;L109)</f>
        <v/>
      </c>
      <c r="Q109" s="29">
        <f>IF(P109="","",COUNTIF($P$5:$P$134,P109))</f>
        <v/>
      </c>
    </row>
    <row r="110">
      <c r="A110" s="13" t="n"/>
      <c r="B110" s="13" t="n"/>
      <c r="C110" s="13" t="n"/>
      <c r="D110" s="13" t="n"/>
      <c r="E110" s="13" t="n"/>
      <c r="F110" s="13" t="n"/>
      <c r="G110" s="13" t="n"/>
      <c r="H110" s="13" t="n"/>
      <c r="I110" s="13" t="n"/>
      <c r="J110" s="13" t="n"/>
      <c r="K110" s="13" t="n"/>
      <c r="L110" s="13" t="n"/>
      <c r="M110" s="13" t="n"/>
      <c r="N110" s="15" t="n"/>
      <c r="O110" s="13" t="n"/>
      <c r="P110" s="16">
        <f>IF(A110="","",A110&amp;"|"&amp;B110&amp;"|"&amp;C110&amp;"|"&amp;D110&amp;"|"&amp;E110&amp;"|"&amp;F110&amp;"|"&amp;G110&amp;"|"&amp;H110&amp;"|"&amp;I110&amp;"|"&amp;J110&amp;"|"&amp;K110&amp;"|"&amp;L110)</f>
        <v/>
      </c>
      <c r="Q110" s="29">
        <f>IF(P110="","",COUNTIF($P$5:$P$134,P110))</f>
        <v/>
      </c>
    </row>
    <row r="111">
      <c r="A111" s="13" t="n"/>
      <c r="B111" s="13" t="n"/>
      <c r="C111" s="13" t="n"/>
      <c r="D111" s="13" t="n"/>
      <c r="E111" s="13" t="n"/>
      <c r="F111" s="13" t="n"/>
      <c r="G111" s="13" t="n"/>
      <c r="H111" s="13" t="n"/>
      <c r="I111" s="13" t="n"/>
      <c r="J111" s="13" t="n"/>
      <c r="K111" s="13" t="n"/>
      <c r="L111" s="13" t="n"/>
      <c r="M111" s="13" t="n"/>
      <c r="N111" s="15" t="n"/>
      <c r="O111" s="13" t="n"/>
      <c r="P111" s="16">
        <f>IF(A111="","",A111&amp;"|"&amp;B111&amp;"|"&amp;C111&amp;"|"&amp;D111&amp;"|"&amp;E111&amp;"|"&amp;F111&amp;"|"&amp;G111&amp;"|"&amp;H111&amp;"|"&amp;I111&amp;"|"&amp;J111&amp;"|"&amp;K111&amp;"|"&amp;L111)</f>
        <v/>
      </c>
      <c r="Q111" s="29">
        <f>IF(P111="","",COUNTIF($P$5:$P$134,P111))</f>
        <v/>
      </c>
    </row>
    <row r="112">
      <c r="A112" s="13" t="n"/>
      <c r="B112" s="13" t="n"/>
      <c r="C112" s="13" t="n"/>
      <c r="D112" s="13" t="n"/>
      <c r="E112" s="13" t="n"/>
      <c r="F112" s="13" t="n"/>
      <c r="G112" s="13" t="n"/>
      <c r="H112" s="13" t="n"/>
      <c r="I112" s="13" t="n"/>
      <c r="J112" s="13" t="n"/>
      <c r="K112" s="13" t="n"/>
      <c r="L112" s="13" t="n"/>
      <c r="M112" s="13" t="n"/>
      <c r="N112" s="15" t="n"/>
      <c r="O112" s="13" t="n"/>
      <c r="P112" s="16">
        <f>IF(A112="","",A112&amp;"|"&amp;B112&amp;"|"&amp;C112&amp;"|"&amp;D112&amp;"|"&amp;E112&amp;"|"&amp;F112&amp;"|"&amp;G112&amp;"|"&amp;H112&amp;"|"&amp;I112&amp;"|"&amp;J112&amp;"|"&amp;K112&amp;"|"&amp;L112)</f>
        <v/>
      </c>
      <c r="Q112" s="29">
        <f>IF(P112="","",COUNTIF($P$5:$P$134,P112))</f>
        <v/>
      </c>
    </row>
    <row r="113">
      <c r="A113" s="13" t="n"/>
      <c r="B113" s="13" t="n"/>
      <c r="C113" s="13" t="n"/>
      <c r="D113" s="13" t="n"/>
      <c r="E113" s="13" t="n"/>
      <c r="F113" s="13" t="n"/>
      <c r="G113" s="13" t="n"/>
      <c r="H113" s="13" t="n"/>
      <c r="I113" s="13" t="n"/>
      <c r="J113" s="13" t="n"/>
      <c r="K113" s="13" t="n"/>
      <c r="L113" s="13" t="n"/>
      <c r="M113" s="13" t="n"/>
      <c r="N113" s="15" t="n"/>
      <c r="O113" s="13" t="n"/>
      <c r="P113" s="16">
        <f>IF(A113="","",A113&amp;"|"&amp;B113&amp;"|"&amp;C113&amp;"|"&amp;D113&amp;"|"&amp;E113&amp;"|"&amp;F113&amp;"|"&amp;G113&amp;"|"&amp;H113&amp;"|"&amp;I113&amp;"|"&amp;J113&amp;"|"&amp;K113&amp;"|"&amp;L113)</f>
        <v/>
      </c>
      <c r="Q113" s="29">
        <f>IF(P113="","",COUNTIF($P$5:$P$134,P113))</f>
        <v/>
      </c>
    </row>
    <row r="114">
      <c r="A114" s="13" t="n"/>
      <c r="B114" s="13" t="n"/>
      <c r="C114" s="13" t="n"/>
      <c r="D114" s="13" t="n"/>
      <c r="E114" s="13" t="n"/>
      <c r="F114" s="13" t="n"/>
      <c r="G114" s="13" t="n"/>
      <c r="H114" s="13" t="n"/>
      <c r="I114" s="13" t="n"/>
      <c r="J114" s="13" t="n"/>
      <c r="K114" s="13" t="n"/>
      <c r="L114" s="13" t="n"/>
      <c r="M114" s="13" t="n"/>
      <c r="N114" s="15" t="n"/>
      <c r="O114" s="13" t="n"/>
      <c r="P114" s="16">
        <f>IF(A114="","",A114&amp;"|"&amp;B114&amp;"|"&amp;C114&amp;"|"&amp;D114&amp;"|"&amp;E114&amp;"|"&amp;F114&amp;"|"&amp;G114&amp;"|"&amp;H114&amp;"|"&amp;I114&amp;"|"&amp;J114&amp;"|"&amp;K114&amp;"|"&amp;L114)</f>
        <v/>
      </c>
      <c r="Q114" s="29">
        <f>IF(P114="","",COUNTIF($P$5:$P$134,P114))</f>
        <v/>
      </c>
    </row>
    <row r="115">
      <c r="A115" s="13" t="n"/>
      <c r="B115" s="13" t="n"/>
      <c r="C115" s="13" t="n"/>
      <c r="D115" s="13" t="n"/>
      <c r="E115" s="13" t="n"/>
      <c r="F115" s="13" t="n"/>
      <c r="G115" s="13" t="n"/>
      <c r="H115" s="13" t="n"/>
      <c r="I115" s="13" t="n"/>
      <c r="J115" s="13" t="n"/>
      <c r="K115" s="13" t="n"/>
      <c r="L115" s="13" t="n"/>
      <c r="M115" s="13" t="n"/>
      <c r="N115" s="15" t="n"/>
      <c r="O115" s="13" t="n"/>
      <c r="P115" s="16">
        <f>IF(A115="","",A115&amp;"|"&amp;B115&amp;"|"&amp;C115&amp;"|"&amp;D115&amp;"|"&amp;E115&amp;"|"&amp;F115&amp;"|"&amp;G115&amp;"|"&amp;H115&amp;"|"&amp;I115&amp;"|"&amp;J115&amp;"|"&amp;K115&amp;"|"&amp;L115)</f>
        <v/>
      </c>
      <c r="Q115" s="29">
        <f>IF(P115="","",COUNTIF($P$5:$P$134,P115))</f>
        <v/>
      </c>
    </row>
    <row r="116">
      <c r="A116" s="13" t="n"/>
      <c r="B116" s="13" t="n"/>
      <c r="C116" s="13" t="n"/>
      <c r="D116" s="13" t="n"/>
      <c r="E116" s="13" t="n"/>
      <c r="F116" s="13" t="n"/>
      <c r="G116" s="13" t="n"/>
      <c r="H116" s="13" t="n"/>
      <c r="I116" s="13" t="n"/>
      <c r="J116" s="13" t="n"/>
      <c r="K116" s="13" t="n"/>
      <c r="L116" s="13" t="n"/>
      <c r="M116" s="13" t="n"/>
      <c r="N116" s="15" t="n"/>
      <c r="O116" s="13" t="n"/>
      <c r="P116" s="16">
        <f>IF(A116="","",A116&amp;"|"&amp;B116&amp;"|"&amp;C116&amp;"|"&amp;D116&amp;"|"&amp;E116&amp;"|"&amp;F116&amp;"|"&amp;G116&amp;"|"&amp;H116&amp;"|"&amp;I116&amp;"|"&amp;J116&amp;"|"&amp;K116&amp;"|"&amp;L116)</f>
        <v/>
      </c>
      <c r="Q116" s="29">
        <f>IF(P116="","",COUNTIF($P$5:$P$134,P116))</f>
        <v/>
      </c>
    </row>
    <row r="117">
      <c r="A117" s="13" t="n"/>
      <c r="B117" s="13" t="n"/>
      <c r="C117" s="13" t="n"/>
      <c r="D117" s="13" t="n"/>
      <c r="E117" s="13" t="n"/>
      <c r="F117" s="13" t="n"/>
      <c r="G117" s="13" t="n"/>
      <c r="H117" s="13" t="n"/>
      <c r="I117" s="13" t="n"/>
      <c r="J117" s="13" t="n"/>
      <c r="K117" s="13" t="n"/>
      <c r="L117" s="13" t="n"/>
      <c r="M117" s="13" t="n"/>
      <c r="N117" s="15" t="n"/>
      <c r="O117" s="13" t="n"/>
      <c r="P117" s="16">
        <f>IF(A117="","",A117&amp;"|"&amp;B117&amp;"|"&amp;C117&amp;"|"&amp;D117&amp;"|"&amp;E117&amp;"|"&amp;F117&amp;"|"&amp;G117&amp;"|"&amp;H117&amp;"|"&amp;I117&amp;"|"&amp;J117&amp;"|"&amp;K117&amp;"|"&amp;L117)</f>
        <v/>
      </c>
      <c r="Q117" s="29">
        <f>IF(P117="","",COUNTIF($P$5:$P$134,P117))</f>
        <v/>
      </c>
    </row>
    <row r="118">
      <c r="A118" s="13" t="n"/>
      <c r="B118" s="13" t="n"/>
      <c r="C118" s="13" t="n"/>
      <c r="D118" s="13" t="n"/>
      <c r="E118" s="13" t="n"/>
      <c r="F118" s="13" t="n"/>
      <c r="G118" s="13" t="n"/>
      <c r="H118" s="13" t="n"/>
      <c r="I118" s="13" t="n"/>
      <c r="J118" s="13" t="n"/>
      <c r="K118" s="13" t="n"/>
      <c r="L118" s="13" t="n"/>
      <c r="M118" s="13" t="n"/>
      <c r="N118" s="15" t="n"/>
      <c r="O118" s="13" t="n"/>
      <c r="P118" s="16">
        <f>IF(A118="","",A118&amp;"|"&amp;B118&amp;"|"&amp;C118&amp;"|"&amp;D118&amp;"|"&amp;E118&amp;"|"&amp;F118&amp;"|"&amp;G118&amp;"|"&amp;H118&amp;"|"&amp;I118&amp;"|"&amp;J118&amp;"|"&amp;K118&amp;"|"&amp;L118)</f>
        <v/>
      </c>
      <c r="Q118" s="29">
        <f>IF(P118="","",COUNTIF($P$5:$P$134,P118))</f>
        <v/>
      </c>
    </row>
    <row r="119">
      <c r="A119" s="13" t="n"/>
      <c r="B119" s="13" t="n"/>
      <c r="C119" s="13" t="n"/>
      <c r="D119" s="13" t="n"/>
      <c r="E119" s="13" t="n"/>
      <c r="F119" s="13" t="n"/>
      <c r="G119" s="13" t="n"/>
      <c r="H119" s="13" t="n"/>
      <c r="I119" s="13" t="n"/>
      <c r="J119" s="13" t="n"/>
      <c r="K119" s="13" t="n"/>
      <c r="L119" s="13" t="n"/>
      <c r="M119" s="13" t="n"/>
      <c r="N119" s="15" t="n"/>
      <c r="O119" s="13" t="n"/>
      <c r="P119" s="16">
        <f>IF(A119="","",A119&amp;"|"&amp;B119&amp;"|"&amp;C119&amp;"|"&amp;D119&amp;"|"&amp;E119&amp;"|"&amp;F119&amp;"|"&amp;G119&amp;"|"&amp;H119&amp;"|"&amp;I119&amp;"|"&amp;J119&amp;"|"&amp;K119&amp;"|"&amp;L119)</f>
        <v/>
      </c>
      <c r="Q119" s="29">
        <f>IF(P119="","",COUNTIF($P$5:$P$134,P119))</f>
        <v/>
      </c>
    </row>
    <row r="120">
      <c r="A120" s="13" t="n"/>
      <c r="B120" s="13" t="n"/>
      <c r="C120" s="13" t="n"/>
      <c r="D120" s="13" t="n"/>
      <c r="E120" s="13" t="n"/>
      <c r="F120" s="13" t="n"/>
      <c r="G120" s="13" t="n"/>
      <c r="H120" s="13" t="n"/>
      <c r="I120" s="13" t="n"/>
      <c r="J120" s="13" t="n"/>
      <c r="K120" s="13" t="n"/>
      <c r="L120" s="13" t="n"/>
      <c r="M120" s="13" t="n"/>
      <c r="N120" s="15" t="n"/>
      <c r="O120" s="13" t="n"/>
      <c r="P120" s="16">
        <f>IF(A120="","",A120&amp;"|"&amp;B120&amp;"|"&amp;C120&amp;"|"&amp;D120&amp;"|"&amp;E120&amp;"|"&amp;F120&amp;"|"&amp;G120&amp;"|"&amp;H120&amp;"|"&amp;I120&amp;"|"&amp;J120&amp;"|"&amp;K120&amp;"|"&amp;L120)</f>
        <v/>
      </c>
      <c r="Q120" s="29">
        <f>IF(P120="","",COUNTIF($P$5:$P$134,P120))</f>
        <v/>
      </c>
    </row>
    <row r="121">
      <c r="A121" s="13" t="n"/>
      <c r="B121" s="13" t="n"/>
      <c r="C121" s="13" t="n"/>
      <c r="D121" s="13" t="n"/>
      <c r="E121" s="13" t="n"/>
      <c r="F121" s="13" t="n"/>
      <c r="G121" s="13" t="n"/>
      <c r="H121" s="13" t="n"/>
      <c r="I121" s="13" t="n"/>
      <c r="J121" s="13" t="n"/>
      <c r="K121" s="13" t="n"/>
      <c r="L121" s="13" t="n"/>
      <c r="M121" s="13" t="n"/>
      <c r="N121" s="15" t="n"/>
      <c r="O121" s="13" t="n"/>
      <c r="P121" s="16">
        <f>IF(A121="","",A121&amp;"|"&amp;B121&amp;"|"&amp;C121&amp;"|"&amp;D121&amp;"|"&amp;E121&amp;"|"&amp;F121&amp;"|"&amp;G121&amp;"|"&amp;H121&amp;"|"&amp;I121&amp;"|"&amp;J121&amp;"|"&amp;K121&amp;"|"&amp;L121)</f>
        <v/>
      </c>
      <c r="Q121" s="29">
        <f>IF(P121="","",COUNTIF($P$5:$P$134,P121))</f>
        <v/>
      </c>
    </row>
    <row r="122">
      <c r="A122" s="13" t="n"/>
      <c r="B122" s="13" t="n"/>
      <c r="C122" s="13" t="n"/>
      <c r="D122" s="13" t="n"/>
      <c r="E122" s="13" t="n"/>
      <c r="F122" s="13" t="n"/>
      <c r="G122" s="13" t="n"/>
      <c r="H122" s="13" t="n"/>
      <c r="I122" s="13" t="n"/>
      <c r="J122" s="13" t="n"/>
      <c r="K122" s="13" t="n"/>
      <c r="L122" s="13" t="n"/>
      <c r="M122" s="13" t="n"/>
      <c r="N122" s="15" t="n"/>
      <c r="O122" s="13" t="n"/>
      <c r="P122" s="16">
        <f>IF(A122="","",A122&amp;"|"&amp;B122&amp;"|"&amp;C122&amp;"|"&amp;D122&amp;"|"&amp;E122&amp;"|"&amp;F122&amp;"|"&amp;G122&amp;"|"&amp;H122&amp;"|"&amp;I122&amp;"|"&amp;J122&amp;"|"&amp;K122&amp;"|"&amp;L122)</f>
        <v/>
      </c>
      <c r="Q122" s="29">
        <f>IF(P122="","",COUNTIF($P$5:$P$134,P122))</f>
        <v/>
      </c>
    </row>
    <row r="123">
      <c r="A123" s="13" t="n"/>
      <c r="B123" s="13" t="n"/>
      <c r="C123" s="13" t="n"/>
      <c r="D123" s="13" t="n"/>
      <c r="E123" s="13" t="n"/>
      <c r="F123" s="13" t="n"/>
      <c r="G123" s="13" t="n"/>
      <c r="H123" s="13" t="n"/>
      <c r="I123" s="13" t="n"/>
      <c r="J123" s="13" t="n"/>
      <c r="K123" s="13" t="n"/>
      <c r="L123" s="13" t="n"/>
      <c r="M123" s="13" t="n"/>
      <c r="N123" s="15" t="n"/>
      <c r="O123" s="13" t="n"/>
      <c r="P123" s="16">
        <f>IF(A123="","",A123&amp;"|"&amp;B123&amp;"|"&amp;C123&amp;"|"&amp;D123&amp;"|"&amp;E123&amp;"|"&amp;F123&amp;"|"&amp;G123&amp;"|"&amp;H123&amp;"|"&amp;I123&amp;"|"&amp;J123&amp;"|"&amp;K123&amp;"|"&amp;L123)</f>
        <v/>
      </c>
      <c r="Q123" s="29">
        <f>IF(P123="","",COUNTIF($P$5:$P$134,P123))</f>
        <v/>
      </c>
    </row>
    <row r="124">
      <c r="A124" s="13" t="n"/>
      <c r="B124" s="13" t="n"/>
      <c r="C124" s="13" t="n"/>
      <c r="D124" s="13" t="n"/>
      <c r="E124" s="13" t="n"/>
      <c r="F124" s="13" t="n"/>
      <c r="G124" s="13" t="n"/>
      <c r="H124" s="13" t="n"/>
      <c r="I124" s="13" t="n"/>
      <c r="J124" s="13" t="n"/>
      <c r="K124" s="13" t="n"/>
      <c r="L124" s="13" t="n"/>
      <c r="M124" s="13" t="n"/>
      <c r="N124" s="15" t="n"/>
      <c r="O124" s="13" t="n"/>
      <c r="P124" s="16">
        <f>IF(A124="","",A124&amp;"|"&amp;B124&amp;"|"&amp;C124&amp;"|"&amp;D124&amp;"|"&amp;E124&amp;"|"&amp;F124&amp;"|"&amp;G124&amp;"|"&amp;H124&amp;"|"&amp;I124&amp;"|"&amp;J124&amp;"|"&amp;K124&amp;"|"&amp;L124)</f>
        <v/>
      </c>
      <c r="Q124" s="29">
        <f>IF(P124="","",COUNTIF($P$5:$P$134,P124))</f>
        <v/>
      </c>
    </row>
    <row r="125">
      <c r="A125" s="13" t="n"/>
      <c r="B125" s="13" t="n"/>
      <c r="C125" s="13" t="n"/>
      <c r="D125" s="13" t="n"/>
      <c r="E125" s="13" t="n"/>
      <c r="F125" s="13" t="n"/>
      <c r="G125" s="13" t="n"/>
      <c r="H125" s="13" t="n"/>
      <c r="I125" s="13" t="n"/>
      <c r="J125" s="13" t="n"/>
      <c r="K125" s="13" t="n"/>
      <c r="L125" s="13" t="n"/>
      <c r="M125" s="13" t="n"/>
      <c r="N125" s="15" t="n"/>
      <c r="O125" s="13" t="n"/>
      <c r="P125" s="16">
        <f>IF(A125="","",A125&amp;"|"&amp;B125&amp;"|"&amp;C125&amp;"|"&amp;D125&amp;"|"&amp;E125&amp;"|"&amp;F125&amp;"|"&amp;G125&amp;"|"&amp;H125&amp;"|"&amp;I125&amp;"|"&amp;J125&amp;"|"&amp;K125&amp;"|"&amp;L125)</f>
        <v/>
      </c>
      <c r="Q125" s="29">
        <f>IF(P125="","",COUNTIF($P$5:$P$134,P125))</f>
        <v/>
      </c>
    </row>
    <row r="126">
      <c r="A126" s="13" t="n"/>
      <c r="B126" s="13" t="n"/>
      <c r="C126" s="13" t="n"/>
      <c r="D126" s="13" t="n"/>
      <c r="E126" s="13" t="n"/>
      <c r="F126" s="13" t="n"/>
      <c r="G126" s="13" t="n"/>
      <c r="H126" s="13" t="n"/>
      <c r="I126" s="13" t="n"/>
      <c r="J126" s="13" t="n"/>
      <c r="K126" s="13" t="n"/>
      <c r="L126" s="13" t="n"/>
      <c r="M126" s="13" t="n"/>
      <c r="N126" s="15" t="n"/>
      <c r="O126" s="13" t="n"/>
      <c r="P126" s="16">
        <f>IF(A126="","",A126&amp;"|"&amp;B126&amp;"|"&amp;C126&amp;"|"&amp;D126&amp;"|"&amp;E126&amp;"|"&amp;F126&amp;"|"&amp;G126&amp;"|"&amp;H126&amp;"|"&amp;I126&amp;"|"&amp;J126&amp;"|"&amp;K126&amp;"|"&amp;L126)</f>
        <v/>
      </c>
      <c r="Q126" s="29">
        <f>IF(P126="","",COUNTIF($P$5:$P$134,P126))</f>
        <v/>
      </c>
    </row>
    <row r="127">
      <c r="A127" s="13" t="n"/>
      <c r="B127" s="13" t="n"/>
      <c r="C127" s="13" t="n"/>
      <c r="D127" s="13" t="n"/>
      <c r="E127" s="13" t="n"/>
      <c r="F127" s="13" t="n"/>
      <c r="G127" s="13" t="n"/>
      <c r="H127" s="13" t="n"/>
      <c r="I127" s="13" t="n"/>
      <c r="J127" s="13" t="n"/>
      <c r="K127" s="13" t="n"/>
      <c r="L127" s="13" t="n"/>
      <c r="M127" s="13" t="n"/>
      <c r="N127" s="15" t="n"/>
      <c r="O127" s="13" t="n"/>
      <c r="P127" s="16">
        <f>IF(A127="","",A127&amp;"|"&amp;B127&amp;"|"&amp;C127&amp;"|"&amp;D127&amp;"|"&amp;E127&amp;"|"&amp;F127&amp;"|"&amp;G127&amp;"|"&amp;H127&amp;"|"&amp;I127&amp;"|"&amp;J127&amp;"|"&amp;K127&amp;"|"&amp;L127)</f>
        <v/>
      </c>
      <c r="Q127" s="29">
        <f>IF(P127="","",COUNTIF($P$5:$P$134,P127))</f>
        <v/>
      </c>
    </row>
    <row r="128">
      <c r="A128" s="13" t="n"/>
      <c r="B128" s="13" t="n"/>
      <c r="C128" s="13" t="n"/>
      <c r="D128" s="13" t="n"/>
      <c r="E128" s="13" t="n"/>
      <c r="F128" s="13" t="n"/>
      <c r="G128" s="13" t="n"/>
      <c r="H128" s="13" t="n"/>
      <c r="I128" s="13" t="n"/>
      <c r="J128" s="13" t="n"/>
      <c r="K128" s="13" t="n"/>
      <c r="L128" s="13" t="n"/>
      <c r="M128" s="13" t="n"/>
      <c r="N128" s="15" t="n"/>
      <c r="O128" s="13" t="n"/>
      <c r="P128" s="16">
        <f>IF(A128="","",A128&amp;"|"&amp;B128&amp;"|"&amp;C128&amp;"|"&amp;D128&amp;"|"&amp;E128&amp;"|"&amp;F128&amp;"|"&amp;G128&amp;"|"&amp;H128&amp;"|"&amp;I128&amp;"|"&amp;J128&amp;"|"&amp;K128&amp;"|"&amp;L128)</f>
        <v/>
      </c>
      <c r="Q128" s="29">
        <f>IF(P128="","",COUNTIF($P$5:$P$134,P128))</f>
        <v/>
      </c>
    </row>
    <row r="129">
      <c r="A129" s="13" t="n"/>
      <c r="B129" s="13" t="n"/>
      <c r="C129" s="13" t="n"/>
      <c r="D129" s="13" t="n"/>
      <c r="E129" s="13" t="n"/>
      <c r="F129" s="13" t="n"/>
      <c r="G129" s="13" t="n"/>
      <c r="H129" s="13" t="n"/>
      <c r="I129" s="13" t="n"/>
      <c r="J129" s="13" t="n"/>
      <c r="K129" s="13" t="n"/>
      <c r="L129" s="13" t="n"/>
      <c r="M129" s="13" t="n"/>
      <c r="N129" s="15" t="n"/>
      <c r="O129" s="13" t="n"/>
      <c r="P129" s="16">
        <f>IF(A129="","",A129&amp;"|"&amp;B129&amp;"|"&amp;C129&amp;"|"&amp;D129&amp;"|"&amp;E129&amp;"|"&amp;F129&amp;"|"&amp;G129&amp;"|"&amp;H129&amp;"|"&amp;I129&amp;"|"&amp;J129&amp;"|"&amp;K129&amp;"|"&amp;L129)</f>
        <v/>
      </c>
      <c r="Q129" s="29">
        <f>IF(P129="","",COUNTIF($P$5:$P$134,P129))</f>
        <v/>
      </c>
    </row>
    <row r="130">
      <c r="A130" s="13" t="n"/>
      <c r="B130" s="13" t="n"/>
      <c r="C130" s="13" t="n"/>
      <c r="D130" s="13" t="n"/>
      <c r="E130" s="13" t="n"/>
      <c r="F130" s="13" t="n"/>
      <c r="G130" s="13" t="n"/>
      <c r="H130" s="13" t="n"/>
      <c r="I130" s="13" t="n"/>
      <c r="J130" s="13" t="n"/>
      <c r="K130" s="13" t="n"/>
      <c r="L130" s="13" t="n"/>
      <c r="M130" s="13" t="n"/>
      <c r="N130" s="15" t="n"/>
      <c r="O130" s="13" t="n"/>
      <c r="P130" s="16">
        <f>IF(A130="","",A130&amp;"|"&amp;B130&amp;"|"&amp;C130&amp;"|"&amp;D130&amp;"|"&amp;E130&amp;"|"&amp;F130&amp;"|"&amp;G130&amp;"|"&amp;H130&amp;"|"&amp;I130&amp;"|"&amp;J130&amp;"|"&amp;K130&amp;"|"&amp;L130)</f>
        <v/>
      </c>
      <c r="Q130" s="29">
        <f>IF(P130="","",COUNTIF($P$5:$P$134,P130))</f>
        <v/>
      </c>
    </row>
    <row r="131">
      <c r="A131" s="13" t="n"/>
      <c r="B131" s="13" t="n"/>
      <c r="C131" s="13" t="n"/>
      <c r="D131" s="13" t="n"/>
      <c r="E131" s="13" t="n"/>
      <c r="F131" s="13" t="n"/>
      <c r="G131" s="13" t="n"/>
      <c r="H131" s="13" t="n"/>
      <c r="I131" s="13" t="n"/>
      <c r="J131" s="13" t="n"/>
      <c r="K131" s="13" t="n"/>
      <c r="L131" s="13" t="n"/>
      <c r="M131" s="13" t="n"/>
      <c r="N131" s="15" t="n"/>
      <c r="O131" s="13" t="n"/>
      <c r="P131" s="16">
        <f>IF(A131="","",A131&amp;"|"&amp;B131&amp;"|"&amp;C131&amp;"|"&amp;D131&amp;"|"&amp;E131&amp;"|"&amp;F131&amp;"|"&amp;G131&amp;"|"&amp;H131&amp;"|"&amp;I131&amp;"|"&amp;J131&amp;"|"&amp;K131&amp;"|"&amp;L131)</f>
        <v/>
      </c>
      <c r="Q131" s="29">
        <f>IF(P131="","",COUNTIF($P$5:$P$134,P131))</f>
        <v/>
      </c>
    </row>
    <row r="132">
      <c r="A132" s="13" t="n"/>
      <c r="B132" s="13" t="n"/>
      <c r="C132" s="13" t="n"/>
      <c r="D132" s="13" t="n"/>
      <c r="E132" s="13" t="n"/>
      <c r="F132" s="13" t="n"/>
      <c r="G132" s="13" t="n"/>
      <c r="H132" s="13" t="n"/>
      <c r="I132" s="13" t="n"/>
      <c r="J132" s="13" t="n"/>
      <c r="K132" s="13" t="n"/>
      <c r="L132" s="13" t="n"/>
      <c r="M132" s="13" t="n"/>
      <c r="N132" s="15" t="n"/>
      <c r="O132" s="13" t="n"/>
      <c r="P132" s="16">
        <f>IF(A132="","",A132&amp;"|"&amp;B132&amp;"|"&amp;C132&amp;"|"&amp;D132&amp;"|"&amp;E132&amp;"|"&amp;F132&amp;"|"&amp;G132&amp;"|"&amp;H132&amp;"|"&amp;I132&amp;"|"&amp;J132&amp;"|"&amp;K132&amp;"|"&amp;L132)</f>
        <v/>
      </c>
      <c r="Q132" s="29">
        <f>IF(P132="","",COUNTIF($P$5:$P$134,P132))</f>
        <v/>
      </c>
    </row>
    <row r="133">
      <c r="A133" s="13" t="n"/>
      <c r="B133" s="13" t="n"/>
      <c r="C133" s="13" t="n"/>
      <c r="D133" s="13" t="n"/>
      <c r="E133" s="13" t="n"/>
      <c r="F133" s="13" t="n"/>
      <c r="G133" s="13" t="n"/>
      <c r="H133" s="13" t="n"/>
      <c r="I133" s="13" t="n"/>
      <c r="J133" s="13" t="n"/>
      <c r="K133" s="13" t="n"/>
      <c r="L133" s="13" t="n"/>
      <c r="M133" s="13" t="n"/>
      <c r="N133" s="15" t="n"/>
      <c r="O133" s="13" t="n"/>
      <c r="P133" s="16">
        <f>IF(A133="","",A133&amp;"|"&amp;B133&amp;"|"&amp;C133&amp;"|"&amp;D133&amp;"|"&amp;E133&amp;"|"&amp;F133&amp;"|"&amp;G133&amp;"|"&amp;H133&amp;"|"&amp;I133&amp;"|"&amp;J133&amp;"|"&amp;K133&amp;"|"&amp;L133)</f>
        <v/>
      </c>
      <c r="Q133" s="29">
        <f>IF(P133="","",COUNTIF($P$5:$P$134,P133))</f>
        <v/>
      </c>
    </row>
    <row r="134">
      <c r="A134" s="13" t="n"/>
      <c r="B134" s="13" t="n"/>
      <c r="C134" s="13" t="n"/>
      <c r="D134" s="13" t="n"/>
      <c r="E134" s="13" t="n"/>
      <c r="F134" s="13" t="n"/>
      <c r="G134" s="13" t="n"/>
      <c r="H134" s="13" t="n"/>
      <c r="I134" s="13" t="n"/>
      <c r="J134" s="13" t="n"/>
      <c r="K134" s="13" t="n"/>
      <c r="L134" s="13" t="n"/>
      <c r="M134" s="13" t="n"/>
      <c r="N134" s="15" t="n"/>
      <c r="O134" s="13" t="n"/>
      <c r="P134" s="16">
        <f>IF(A134="","",A134&amp;"|"&amp;B134&amp;"|"&amp;C134&amp;"|"&amp;D134&amp;"|"&amp;E134&amp;"|"&amp;F134&amp;"|"&amp;G134&amp;"|"&amp;H134&amp;"|"&amp;I134&amp;"|"&amp;J134&amp;"|"&amp;K134&amp;"|"&amp;L134)</f>
        <v/>
      </c>
      <c r="Q134" s="29">
        <f>IF(P134="","",COUNTIF($P$5:$P$134,P134))</f>
        <v/>
      </c>
    </row>
    <row r="135">
      <c r="A135" s="30" t="n"/>
      <c r="B135" s="30" t="n"/>
      <c r="C135" s="30" t="n"/>
      <c r="D135" s="30" t="n"/>
      <c r="E135" s="30" t="n"/>
      <c r="F135" s="30" t="n"/>
      <c r="G135" s="30" t="n"/>
      <c r="H135" s="30" t="n"/>
      <c r="I135" s="30" t="n"/>
      <c r="J135" s="30" t="n"/>
      <c r="K135" s="30" t="n"/>
      <c r="L135" s="30" t="n"/>
      <c r="M135" s="30" t="n"/>
      <c r="N135" s="31" t="n"/>
      <c r="O135" s="30" t="n"/>
      <c r="P135" s="32" t="n"/>
      <c r="Q135" s="33" t="n"/>
    </row>
    <row r="136">
      <c r="A136" s="34" t="inlineStr">
        <is>
          <t>Spalten P und Q rechnen selbst. Nicht ausfüllen. "dublette" grösser 1 bedeutet: diese Merkmalskombination kommt mehrfach vor.</t>
        </is>
      </c>
      <c r="B136" s="30" t="n"/>
      <c r="C136" s="30" t="n"/>
      <c r="D136" s="30" t="n"/>
      <c r="E136" s="30" t="n"/>
      <c r="F136" s="30" t="n"/>
      <c r="G136" s="30" t="n"/>
      <c r="H136" s="30" t="n"/>
      <c r="I136" s="30" t="n"/>
      <c r="J136" s="30" t="n"/>
      <c r="K136" s="30" t="n"/>
      <c r="L136" s="30" t="n"/>
      <c r="M136" s="30" t="n"/>
      <c r="N136" s="31" t="n"/>
      <c r="O136" s="30" t="n"/>
      <c r="P136" s="32" t="n"/>
      <c r="Q136" s="33" t="n"/>
    </row>
    <row r="137">
      <c r="A137" s="30" t="n"/>
      <c r="B137" s="30" t="n"/>
      <c r="C137" s="30" t="n"/>
      <c r="D137" s="30" t="n"/>
      <c r="E137" s="30" t="n"/>
      <c r="F137" s="30" t="n"/>
      <c r="G137" s="30" t="n"/>
      <c r="H137" s="30" t="n"/>
      <c r="I137" s="30" t="n"/>
      <c r="J137" s="30" t="n"/>
      <c r="K137" s="30" t="n"/>
      <c r="L137" s="30" t="n"/>
      <c r="M137" s="30" t="n"/>
      <c r="N137" s="31" t="n"/>
      <c r="O137" s="30" t="n"/>
      <c r="P137" s="32" t="n"/>
      <c r="Q137" s="33" t="n"/>
    </row>
    <row r="138">
      <c r="A138" s="30" t="n"/>
      <c r="B138" s="30" t="n"/>
      <c r="C138" s="30" t="n"/>
      <c r="D138" s="30" t="n"/>
      <c r="E138" s="30" t="n"/>
      <c r="F138" s="30" t="n"/>
      <c r="G138" s="30" t="n"/>
      <c r="H138" s="30" t="n"/>
      <c r="I138" s="30" t="n"/>
      <c r="J138" s="30" t="n"/>
      <c r="K138" s="30" t="n"/>
      <c r="L138" s="30" t="n"/>
      <c r="M138" s="30" t="n"/>
      <c r="N138" s="31" t="n"/>
      <c r="O138" s="30" t="n"/>
      <c r="P138" s="32" t="n"/>
      <c r="Q138" s="33" t="n"/>
    </row>
    <row r="139">
      <c r="A139" s="30" t="n"/>
      <c r="B139" s="30" t="n"/>
      <c r="C139" s="30" t="n"/>
      <c r="D139" s="30" t="n"/>
      <c r="E139" s="30" t="n"/>
      <c r="F139" s="30" t="n"/>
      <c r="G139" s="30" t="n"/>
      <c r="H139" s="30" t="n"/>
      <c r="I139" s="30" t="n"/>
      <c r="J139" s="30" t="n"/>
      <c r="K139" s="30" t="n"/>
      <c r="L139" s="30" t="n"/>
      <c r="M139" s="30" t="n"/>
      <c r="N139" s="31" t="n"/>
      <c r="O139" s="30" t="n"/>
      <c r="P139" s="32" t="n"/>
      <c r="Q139" s="33" t="n"/>
    </row>
    <row r="140">
      <c r="A140" s="30" t="n"/>
      <c r="B140" s="30" t="n"/>
      <c r="C140" s="30" t="n"/>
      <c r="D140" s="30" t="n"/>
      <c r="E140" s="30" t="n"/>
      <c r="F140" s="30" t="n"/>
      <c r="G140" s="30" t="n"/>
      <c r="H140" s="30" t="n"/>
      <c r="I140" s="30" t="n"/>
      <c r="J140" s="30" t="n"/>
      <c r="K140" s="30" t="n"/>
      <c r="L140" s="30" t="n"/>
      <c r="M140" s="30" t="n"/>
      <c r="N140" s="31" t="n"/>
      <c r="O140" s="30" t="n"/>
      <c r="P140" s="32" t="n"/>
      <c r="Q140" s="33" t="n"/>
    </row>
    <row r="141">
      <c r="A141" s="30" t="n"/>
      <c r="B141" s="30" t="n"/>
      <c r="C141" s="30" t="n"/>
      <c r="D141" s="30" t="n"/>
      <c r="E141" s="30" t="n"/>
      <c r="F141" s="30" t="n"/>
      <c r="G141" s="30" t="n"/>
      <c r="H141" s="30" t="n"/>
      <c r="I141" s="30" t="n"/>
      <c r="J141" s="30" t="n"/>
      <c r="K141" s="30" t="n"/>
      <c r="L141" s="30" t="n"/>
      <c r="M141" s="30" t="n"/>
      <c r="N141" s="31" t="n"/>
      <c r="O141" s="30" t="n"/>
      <c r="P141" s="32" t="n"/>
      <c r="Q141" s="33" t="n"/>
    </row>
    <row r="142">
      <c r="A142" s="30" t="n"/>
      <c r="B142" s="30" t="n"/>
      <c r="C142" s="30" t="n"/>
      <c r="D142" s="30" t="n"/>
      <c r="E142" s="30" t="n"/>
      <c r="F142" s="30" t="n"/>
      <c r="G142" s="30" t="n"/>
      <c r="H142" s="30" t="n"/>
      <c r="I142" s="30" t="n"/>
      <c r="J142" s="30" t="n"/>
      <c r="K142" s="30" t="n"/>
      <c r="L142" s="30" t="n"/>
      <c r="M142" s="30" t="n"/>
      <c r="N142" s="31" t="n"/>
      <c r="O142" s="30" t="n"/>
      <c r="P142" s="32" t="n"/>
      <c r="Q142" s="33" t="n"/>
    </row>
    <row r="143">
      <c r="A143" s="30" t="n"/>
      <c r="B143" s="30" t="n"/>
      <c r="C143" s="30" t="n"/>
      <c r="D143" s="30" t="n"/>
      <c r="E143" s="30" t="n"/>
      <c r="F143" s="30" t="n"/>
      <c r="G143" s="30" t="n"/>
      <c r="H143" s="30" t="n"/>
      <c r="I143" s="30" t="n"/>
      <c r="J143" s="30" t="n"/>
      <c r="K143" s="30" t="n"/>
      <c r="L143" s="30" t="n"/>
      <c r="M143" s="30" t="n"/>
      <c r="N143" s="31" t="n"/>
      <c r="O143" s="30" t="n"/>
      <c r="P143" s="32" t="n"/>
      <c r="Q143" s="33" t="n"/>
    </row>
    <row r="144">
      <c r="A144" s="30" t="n"/>
      <c r="B144" s="30" t="n"/>
      <c r="C144" s="30" t="n"/>
      <c r="D144" s="30" t="n"/>
      <c r="E144" s="30" t="n"/>
      <c r="F144" s="30" t="n"/>
      <c r="G144" s="30" t="n"/>
      <c r="H144" s="30" t="n"/>
      <c r="I144" s="30" t="n"/>
      <c r="J144" s="30" t="n"/>
      <c r="K144" s="30" t="n"/>
      <c r="L144" s="30" t="n"/>
      <c r="M144" s="30" t="n"/>
      <c r="N144" s="31" t="n"/>
      <c r="O144" s="30" t="n"/>
      <c r="P144" s="32" t="n"/>
      <c r="Q144" s="33" t="n"/>
    </row>
    <row r="145">
      <c r="A145" s="30" t="n"/>
      <c r="B145" s="30" t="n"/>
      <c r="C145" s="30" t="n"/>
      <c r="D145" s="30" t="n"/>
      <c r="E145" s="30" t="n"/>
      <c r="F145" s="30" t="n"/>
      <c r="G145" s="30" t="n"/>
      <c r="H145" s="30" t="n"/>
      <c r="I145" s="30" t="n"/>
      <c r="J145" s="30" t="n"/>
      <c r="K145" s="30" t="n"/>
      <c r="L145" s="30" t="n"/>
      <c r="M145" s="30" t="n"/>
      <c r="N145" s="31" t="n"/>
      <c r="O145" s="30" t="n"/>
      <c r="P145" s="32" t="n"/>
      <c r="Q145" s="33" t="n"/>
    </row>
    <row r="146">
      <c r="A146" s="30" t="n"/>
      <c r="B146" s="30" t="n"/>
      <c r="C146" s="30" t="n"/>
      <c r="D146" s="30" t="n"/>
      <c r="E146" s="30" t="n"/>
      <c r="F146" s="30" t="n"/>
      <c r="G146" s="30" t="n"/>
      <c r="H146" s="30" t="n"/>
      <c r="I146" s="30" t="n"/>
      <c r="J146" s="30" t="n"/>
      <c r="K146" s="30" t="n"/>
      <c r="L146" s="30" t="n"/>
      <c r="M146" s="30" t="n"/>
      <c r="N146" s="31" t="n"/>
      <c r="O146" s="30" t="n"/>
      <c r="P146" s="32" t="n"/>
      <c r="Q146" s="33" t="n"/>
    </row>
    <row r="147">
      <c r="A147" s="30" t="n"/>
      <c r="B147" s="30" t="n"/>
      <c r="C147" s="30" t="n"/>
      <c r="D147" s="30" t="n"/>
      <c r="E147" s="30" t="n"/>
      <c r="F147" s="30" t="n"/>
      <c r="G147" s="30" t="n"/>
      <c r="H147" s="30" t="n"/>
      <c r="I147" s="30" t="n"/>
      <c r="J147" s="30" t="n"/>
      <c r="K147" s="30" t="n"/>
      <c r="L147" s="30" t="n"/>
      <c r="M147" s="30" t="n"/>
      <c r="N147" s="31" t="n"/>
      <c r="O147" s="30" t="n"/>
      <c r="P147" s="32" t="n"/>
      <c r="Q147" s="33" t="n"/>
    </row>
    <row r="148">
      <c r="A148" s="30" t="n"/>
      <c r="B148" s="30" t="n"/>
      <c r="C148" s="30" t="n"/>
      <c r="D148" s="30" t="n"/>
      <c r="E148" s="30" t="n"/>
      <c r="F148" s="30" t="n"/>
      <c r="G148" s="30" t="n"/>
      <c r="H148" s="30" t="n"/>
      <c r="I148" s="30" t="n"/>
      <c r="J148" s="30" t="n"/>
      <c r="K148" s="30" t="n"/>
      <c r="L148" s="30" t="n"/>
      <c r="M148" s="30" t="n"/>
      <c r="N148" s="31" t="n"/>
      <c r="O148" s="30" t="n"/>
      <c r="P148" s="32" t="n"/>
      <c r="Q148" s="33" t="n"/>
    </row>
    <row r="149">
      <c r="A149" s="30" t="n"/>
      <c r="B149" s="30" t="n"/>
      <c r="C149" s="30" t="n"/>
      <c r="D149" s="30" t="n"/>
      <c r="E149" s="30" t="n"/>
      <c r="F149" s="30" t="n"/>
      <c r="G149" s="30" t="n"/>
      <c r="H149" s="30" t="n"/>
      <c r="I149" s="30" t="n"/>
      <c r="J149" s="30" t="n"/>
      <c r="K149" s="30" t="n"/>
      <c r="L149" s="30" t="n"/>
      <c r="M149" s="30" t="n"/>
      <c r="N149" s="31" t="n"/>
      <c r="O149" s="30" t="n"/>
      <c r="P149" s="32" t="n"/>
      <c r="Q149" s="33" t="n"/>
    </row>
    <row r="150">
      <c r="A150" s="30" t="n"/>
      <c r="B150" s="30" t="n"/>
      <c r="C150" s="30" t="n"/>
      <c r="D150" s="30" t="n"/>
      <c r="E150" s="30" t="n"/>
      <c r="F150" s="30" t="n"/>
      <c r="G150" s="30" t="n"/>
      <c r="H150" s="30" t="n"/>
      <c r="I150" s="30" t="n"/>
      <c r="J150" s="30" t="n"/>
      <c r="K150" s="30" t="n"/>
      <c r="L150" s="30" t="n"/>
      <c r="M150" s="30" t="n"/>
      <c r="N150" s="31" t="n"/>
      <c r="O150" s="30" t="n"/>
      <c r="P150" s="32" t="n"/>
      <c r="Q150" s="33" t="n"/>
    </row>
    <row r="151">
      <c r="A151" s="30" t="n"/>
      <c r="B151" s="30" t="n"/>
      <c r="C151" s="30" t="n"/>
      <c r="D151" s="30" t="n"/>
      <c r="E151" s="30" t="n"/>
      <c r="F151" s="30" t="n"/>
      <c r="G151" s="30" t="n"/>
      <c r="H151" s="30" t="n"/>
      <c r="I151" s="30" t="n"/>
      <c r="J151" s="30" t="n"/>
      <c r="K151" s="30" t="n"/>
      <c r="L151" s="30" t="n"/>
      <c r="M151" s="30" t="n"/>
      <c r="N151" s="31" t="n"/>
      <c r="O151" s="30" t="n"/>
      <c r="P151" s="32" t="n"/>
      <c r="Q151" s="33" t="n"/>
    </row>
    <row r="152">
      <c r="A152" s="30" t="n"/>
      <c r="B152" s="30" t="n"/>
      <c r="C152" s="30" t="n"/>
      <c r="D152" s="30" t="n"/>
      <c r="E152" s="30" t="n"/>
      <c r="F152" s="30" t="n"/>
      <c r="G152" s="30" t="n"/>
      <c r="H152" s="30" t="n"/>
      <c r="I152" s="30" t="n"/>
      <c r="J152" s="30" t="n"/>
      <c r="K152" s="30" t="n"/>
      <c r="L152" s="30" t="n"/>
      <c r="M152" s="30" t="n"/>
      <c r="N152" s="31" t="n"/>
      <c r="O152" s="30" t="n"/>
      <c r="P152" s="32" t="n"/>
      <c r="Q152" s="33" t="n"/>
    </row>
    <row r="153">
      <c r="A153" s="30" t="n"/>
      <c r="B153" s="30" t="n"/>
      <c r="C153" s="30" t="n"/>
      <c r="D153" s="30" t="n"/>
      <c r="E153" s="30" t="n"/>
      <c r="F153" s="30" t="n"/>
      <c r="G153" s="30" t="n"/>
      <c r="H153" s="30" t="n"/>
      <c r="I153" s="30" t="n"/>
      <c r="J153" s="30" t="n"/>
      <c r="K153" s="30" t="n"/>
      <c r="L153" s="30" t="n"/>
      <c r="M153" s="30" t="n"/>
      <c r="N153" s="31" t="n"/>
      <c r="O153" s="30" t="n"/>
      <c r="P153" s="32" t="n"/>
      <c r="Q153" s="33" t="n"/>
    </row>
    <row r="154">
      <c r="A154" s="30" t="n"/>
      <c r="B154" s="30" t="n"/>
      <c r="C154" s="30" t="n"/>
      <c r="D154" s="30" t="n"/>
      <c r="E154" s="30" t="n"/>
      <c r="F154" s="30" t="n"/>
      <c r="G154" s="30" t="n"/>
      <c r="H154" s="30" t="n"/>
      <c r="I154" s="30" t="n"/>
      <c r="J154" s="30" t="n"/>
      <c r="K154" s="30" t="n"/>
      <c r="L154" s="30" t="n"/>
      <c r="M154" s="30" t="n"/>
      <c r="N154" s="31" t="n"/>
      <c r="O154" s="30" t="n"/>
      <c r="P154" s="32" t="n"/>
      <c r="Q154" s="33" t="n"/>
    </row>
    <row r="155">
      <c r="A155" s="30" t="n"/>
      <c r="B155" s="30" t="n"/>
      <c r="C155" s="30" t="n"/>
      <c r="D155" s="30" t="n"/>
      <c r="E155" s="30" t="n"/>
      <c r="F155" s="30" t="n"/>
      <c r="G155" s="30" t="n"/>
      <c r="H155" s="30" t="n"/>
      <c r="I155" s="30" t="n"/>
      <c r="J155" s="30" t="n"/>
      <c r="K155" s="30" t="n"/>
      <c r="L155" s="30" t="n"/>
      <c r="M155" s="30" t="n"/>
      <c r="N155" s="31" t="n"/>
      <c r="O155" s="30" t="n"/>
      <c r="P155" s="32" t="n"/>
      <c r="Q155" s="33" t="n"/>
    </row>
    <row r="156">
      <c r="A156" s="30" t="n"/>
      <c r="B156" s="30" t="n"/>
      <c r="C156" s="30" t="n"/>
      <c r="D156" s="30" t="n"/>
      <c r="E156" s="30" t="n"/>
      <c r="F156" s="30" t="n"/>
      <c r="G156" s="30" t="n"/>
      <c r="H156" s="30" t="n"/>
      <c r="I156" s="30" t="n"/>
      <c r="J156" s="30" t="n"/>
      <c r="K156" s="30" t="n"/>
      <c r="L156" s="30" t="n"/>
      <c r="M156" s="30" t="n"/>
      <c r="N156" s="31" t="n"/>
      <c r="O156" s="30" t="n"/>
      <c r="P156" s="32" t="n"/>
      <c r="Q156" s="33" t="n"/>
    </row>
    <row r="157">
      <c r="A157" s="30" t="n"/>
      <c r="B157" s="30" t="n"/>
      <c r="C157" s="30" t="n"/>
      <c r="D157" s="30" t="n"/>
      <c r="E157" s="30" t="n"/>
      <c r="F157" s="30" t="n"/>
      <c r="G157" s="30" t="n"/>
      <c r="H157" s="30" t="n"/>
      <c r="I157" s="30" t="n"/>
      <c r="J157" s="30" t="n"/>
      <c r="K157" s="30" t="n"/>
      <c r="L157" s="30" t="n"/>
      <c r="M157" s="30" t="n"/>
      <c r="N157" s="31" t="n"/>
      <c r="O157" s="30" t="n"/>
      <c r="P157" s="32" t="n"/>
      <c r="Q157" s="33" t="n"/>
    </row>
    <row r="158">
      <c r="A158" s="30" t="n"/>
      <c r="B158" s="30" t="n"/>
      <c r="C158" s="30" t="n"/>
      <c r="D158" s="30" t="n"/>
      <c r="E158" s="30" t="n"/>
      <c r="F158" s="30" t="n"/>
      <c r="G158" s="30" t="n"/>
      <c r="H158" s="30" t="n"/>
      <c r="I158" s="30" t="n"/>
      <c r="J158" s="30" t="n"/>
      <c r="K158" s="30" t="n"/>
      <c r="L158" s="30" t="n"/>
      <c r="M158" s="30" t="n"/>
      <c r="N158" s="31" t="n"/>
      <c r="O158" s="30" t="n"/>
      <c r="P158" s="32" t="n"/>
      <c r="Q158" s="33" t="n"/>
    </row>
    <row r="159">
      <c r="A159" s="30" t="n"/>
      <c r="B159" s="30" t="n"/>
      <c r="C159" s="30" t="n"/>
      <c r="D159" s="30" t="n"/>
      <c r="E159" s="30" t="n"/>
      <c r="F159" s="30" t="n"/>
      <c r="G159" s="30" t="n"/>
      <c r="H159" s="30" t="n"/>
      <c r="I159" s="30" t="n"/>
      <c r="J159" s="30" t="n"/>
      <c r="K159" s="30" t="n"/>
      <c r="L159" s="30" t="n"/>
      <c r="M159" s="30" t="n"/>
      <c r="N159" s="31" t="n"/>
      <c r="O159" s="30" t="n"/>
      <c r="P159" s="32" t="n"/>
      <c r="Q159" s="33" t="n"/>
    </row>
    <row r="160">
      <c r="A160" s="30" t="n"/>
      <c r="B160" s="30" t="n"/>
      <c r="C160" s="30" t="n"/>
      <c r="D160" s="30" t="n"/>
      <c r="E160" s="30" t="n"/>
      <c r="F160" s="30" t="n"/>
      <c r="G160" s="30" t="n"/>
      <c r="H160" s="30" t="n"/>
      <c r="I160" s="30" t="n"/>
      <c r="J160" s="30" t="n"/>
      <c r="K160" s="30" t="n"/>
      <c r="L160" s="30" t="n"/>
      <c r="M160" s="30" t="n"/>
      <c r="N160" s="31" t="n"/>
      <c r="O160" s="30" t="n"/>
      <c r="P160" s="32" t="n"/>
      <c r="Q160" s="33" t="n"/>
    </row>
    <row r="161">
      <c r="A161" s="30" t="n"/>
      <c r="B161" s="30" t="n"/>
      <c r="C161" s="30" t="n"/>
      <c r="D161" s="30" t="n"/>
      <c r="E161" s="30" t="n"/>
      <c r="F161" s="30" t="n"/>
      <c r="G161" s="30" t="n"/>
      <c r="H161" s="30" t="n"/>
      <c r="I161" s="30" t="n"/>
      <c r="J161" s="30" t="n"/>
      <c r="K161" s="30" t="n"/>
      <c r="L161" s="30" t="n"/>
      <c r="M161" s="30" t="n"/>
      <c r="N161" s="31" t="n"/>
      <c r="O161" s="30" t="n"/>
      <c r="P161" s="32" t="n"/>
      <c r="Q161" s="33" t="n"/>
    </row>
    <row r="162">
      <c r="A162" s="30" t="n"/>
      <c r="B162" s="30" t="n"/>
      <c r="C162" s="30" t="n"/>
      <c r="D162" s="30" t="n"/>
      <c r="E162" s="30" t="n"/>
      <c r="F162" s="30" t="n"/>
      <c r="G162" s="30" t="n"/>
      <c r="H162" s="30" t="n"/>
      <c r="I162" s="30" t="n"/>
      <c r="J162" s="30" t="n"/>
      <c r="K162" s="30" t="n"/>
      <c r="L162" s="30" t="n"/>
      <c r="M162" s="30" t="n"/>
      <c r="N162" s="31" t="n"/>
      <c r="O162" s="30" t="n"/>
      <c r="P162" s="32" t="n"/>
      <c r="Q162" s="33" t="n"/>
    </row>
    <row r="163">
      <c r="A163" s="30" t="n"/>
      <c r="B163" s="30" t="n"/>
      <c r="C163" s="30" t="n"/>
      <c r="D163" s="30" t="n"/>
      <c r="E163" s="30" t="n"/>
      <c r="F163" s="30" t="n"/>
      <c r="G163" s="30" t="n"/>
      <c r="H163" s="30" t="n"/>
      <c r="I163" s="30" t="n"/>
      <c r="J163" s="30" t="n"/>
      <c r="K163" s="30" t="n"/>
      <c r="L163" s="30" t="n"/>
      <c r="M163" s="30" t="n"/>
      <c r="N163" s="31" t="n"/>
      <c r="O163" s="30" t="n"/>
      <c r="P163" s="32" t="n"/>
      <c r="Q163" s="33" t="n"/>
    </row>
    <row r="164">
      <c r="A164" s="30" t="n"/>
      <c r="B164" s="30" t="n"/>
      <c r="C164" s="30" t="n"/>
      <c r="D164" s="30" t="n"/>
      <c r="E164" s="30" t="n"/>
      <c r="F164" s="30" t="n"/>
      <c r="G164" s="30" t="n"/>
      <c r="H164" s="30" t="n"/>
      <c r="I164" s="30" t="n"/>
      <c r="J164" s="30" t="n"/>
      <c r="K164" s="30" t="n"/>
      <c r="L164" s="30" t="n"/>
      <c r="M164" s="30" t="n"/>
      <c r="N164" s="31" t="n"/>
      <c r="O164" s="30" t="n"/>
      <c r="P164" s="32" t="n"/>
      <c r="Q164" s="33" t="n"/>
    </row>
    <row r="165">
      <c r="A165" s="30" t="n"/>
      <c r="B165" s="30" t="n"/>
      <c r="C165" s="30" t="n"/>
      <c r="D165" s="30" t="n"/>
      <c r="E165" s="30" t="n"/>
      <c r="F165" s="30" t="n"/>
      <c r="G165" s="30" t="n"/>
      <c r="H165" s="30" t="n"/>
      <c r="I165" s="30" t="n"/>
      <c r="J165" s="30" t="n"/>
      <c r="K165" s="30" t="n"/>
      <c r="L165" s="30" t="n"/>
      <c r="M165" s="30" t="n"/>
      <c r="N165" s="31" t="n"/>
      <c r="O165" s="30" t="n"/>
      <c r="P165" s="32" t="n"/>
      <c r="Q165" s="33" t="n"/>
    </row>
    <row r="166">
      <c r="A166" s="30" t="n"/>
      <c r="B166" s="30" t="n"/>
      <c r="C166" s="30" t="n"/>
      <c r="D166" s="30" t="n"/>
      <c r="E166" s="30" t="n"/>
      <c r="F166" s="30" t="n"/>
      <c r="G166" s="30" t="n"/>
      <c r="H166" s="30" t="n"/>
      <c r="I166" s="30" t="n"/>
      <c r="J166" s="30" t="n"/>
      <c r="K166" s="30" t="n"/>
      <c r="L166" s="30" t="n"/>
      <c r="M166" s="30" t="n"/>
      <c r="N166" s="31" t="n"/>
      <c r="O166" s="30" t="n"/>
      <c r="P166" s="32" t="n"/>
      <c r="Q166" s="33" t="n"/>
    </row>
    <row r="167">
      <c r="A167" s="30" t="n"/>
      <c r="B167" s="30" t="n"/>
      <c r="C167" s="30" t="n"/>
      <c r="D167" s="30" t="n"/>
      <c r="E167" s="30" t="n"/>
      <c r="F167" s="30" t="n"/>
      <c r="G167" s="30" t="n"/>
      <c r="H167" s="30" t="n"/>
      <c r="I167" s="30" t="n"/>
      <c r="J167" s="30" t="n"/>
      <c r="K167" s="30" t="n"/>
      <c r="L167" s="30" t="n"/>
      <c r="M167" s="30" t="n"/>
      <c r="N167" s="31" t="n"/>
      <c r="O167" s="30" t="n"/>
      <c r="P167" s="32" t="n"/>
      <c r="Q167" s="33" t="n"/>
    </row>
    <row r="168">
      <c r="A168" s="30" t="n"/>
      <c r="B168" s="30" t="n"/>
      <c r="C168" s="30" t="n"/>
      <c r="D168" s="30" t="n"/>
      <c r="E168" s="30" t="n"/>
      <c r="F168" s="30" t="n"/>
      <c r="G168" s="30" t="n"/>
      <c r="H168" s="30" t="n"/>
      <c r="I168" s="30" t="n"/>
      <c r="J168" s="30" t="n"/>
      <c r="K168" s="30" t="n"/>
      <c r="L168" s="30" t="n"/>
      <c r="M168" s="30" t="n"/>
      <c r="N168" s="31" t="n"/>
      <c r="O168" s="30" t="n"/>
      <c r="P168" s="32" t="n"/>
      <c r="Q168" s="33" t="n"/>
    </row>
    <row r="169">
      <c r="A169" s="30" t="n"/>
      <c r="B169" s="30" t="n"/>
      <c r="C169" s="30" t="n"/>
      <c r="D169" s="30" t="n"/>
      <c r="E169" s="30" t="n"/>
      <c r="F169" s="30" t="n"/>
      <c r="G169" s="30" t="n"/>
      <c r="H169" s="30" t="n"/>
      <c r="I169" s="30" t="n"/>
      <c r="J169" s="30" t="n"/>
      <c r="K169" s="30" t="n"/>
      <c r="L169" s="30" t="n"/>
      <c r="M169" s="30" t="n"/>
      <c r="N169" s="31" t="n"/>
      <c r="O169" s="30" t="n"/>
      <c r="P169" s="32" t="n"/>
      <c r="Q169" s="33" t="n"/>
    </row>
    <row r="170">
      <c r="A170" s="30" t="n"/>
      <c r="B170" s="30" t="n"/>
      <c r="C170" s="30" t="n"/>
      <c r="D170" s="30" t="n"/>
      <c r="E170" s="30" t="n"/>
      <c r="F170" s="30" t="n"/>
      <c r="G170" s="30" t="n"/>
      <c r="H170" s="30" t="n"/>
      <c r="I170" s="30" t="n"/>
      <c r="J170" s="30" t="n"/>
      <c r="K170" s="30" t="n"/>
      <c r="L170" s="30" t="n"/>
      <c r="M170" s="30" t="n"/>
      <c r="N170" s="31" t="n"/>
      <c r="O170" s="30" t="n"/>
      <c r="P170" s="32" t="n"/>
      <c r="Q170" s="33" t="n"/>
    </row>
    <row r="171">
      <c r="A171" s="30" t="n"/>
      <c r="B171" s="30" t="n"/>
      <c r="C171" s="30" t="n"/>
      <c r="D171" s="30" t="n"/>
      <c r="E171" s="30" t="n"/>
      <c r="F171" s="30" t="n"/>
      <c r="G171" s="30" t="n"/>
      <c r="H171" s="30" t="n"/>
      <c r="I171" s="30" t="n"/>
      <c r="J171" s="30" t="n"/>
      <c r="K171" s="30" t="n"/>
      <c r="L171" s="30" t="n"/>
      <c r="M171" s="30" t="n"/>
      <c r="N171" s="31" t="n"/>
      <c r="O171" s="30" t="n"/>
      <c r="P171" s="32" t="n"/>
      <c r="Q171" s="33" t="n"/>
    </row>
    <row r="172">
      <c r="A172" s="30" t="n"/>
      <c r="B172" s="30" t="n"/>
      <c r="C172" s="30" t="n"/>
      <c r="D172" s="30" t="n"/>
      <c r="E172" s="30" t="n"/>
      <c r="F172" s="30" t="n"/>
      <c r="G172" s="30" t="n"/>
      <c r="H172" s="30" t="n"/>
      <c r="I172" s="30" t="n"/>
      <c r="J172" s="30" t="n"/>
      <c r="K172" s="30" t="n"/>
      <c r="L172" s="30" t="n"/>
      <c r="M172" s="30" t="n"/>
      <c r="N172" s="31" t="n"/>
      <c r="O172" s="30" t="n"/>
      <c r="P172" s="32" t="n"/>
      <c r="Q172" s="33" t="n"/>
    </row>
    <row r="173">
      <c r="A173" s="30" t="n"/>
      <c r="B173" s="30" t="n"/>
      <c r="C173" s="30" t="n"/>
      <c r="D173" s="30" t="n"/>
      <c r="E173" s="30" t="n"/>
      <c r="F173" s="30" t="n"/>
      <c r="G173" s="30" t="n"/>
      <c r="H173" s="30" t="n"/>
      <c r="I173" s="30" t="n"/>
      <c r="J173" s="30" t="n"/>
      <c r="K173" s="30" t="n"/>
      <c r="L173" s="30" t="n"/>
      <c r="M173" s="30" t="n"/>
      <c r="N173" s="31" t="n"/>
      <c r="O173" s="30" t="n"/>
      <c r="P173" s="32" t="n"/>
      <c r="Q173" s="33" t="n"/>
    </row>
    <row r="174">
      <c r="A174" s="30" t="n"/>
      <c r="B174" s="30" t="n"/>
      <c r="C174" s="30" t="n"/>
      <c r="D174" s="30" t="n"/>
      <c r="E174" s="30" t="n"/>
      <c r="F174" s="30" t="n"/>
      <c r="G174" s="30" t="n"/>
      <c r="H174" s="30" t="n"/>
      <c r="I174" s="30" t="n"/>
      <c r="J174" s="30" t="n"/>
      <c r="K174" s="30" t="n"/>
      <c r="L174" s="30" t="n"/>
      <c r="M174" s="30" t="n"/>
      <c r="N174" s="31" t="n"/>
      <c r="O174" s="30" t="n"/>
      <c r="P174" s="32" t="n"/>
      <c r="Q174" s="33" t="n"/>
    </row>
    <row r="175">
      <c r="A175" s="30" t="n"/>
      <c r="B175" s="30" t="n"/>
      <c r="C175" s="30" t="n"/>
      <c r="D175" s="30" t="n"/>
      <c r="E175" s="30" t="n"/>
      <c r="F175" s="30" t="n"/>
      <c r="G175" s="30" t="n"/>
      <c r="H175" s="30" t="n"/>
      <c r="I175" s="30" t="n"/>
      <c r="J175" s="30" t="n"/>
      <c r="K175" s="30" t="n"/>
      <c r="L175" s="30" t="n"/>
      <c r="M175" s="30" t="n"/>
      <c r="N175" s="31" t="n"/>
      <c r="O175" s="30" t="n"/>
      <c r="P175" s="32" t="n"/>
      <c r="Q175" s="33" t="n"/>
    </row>
    <row r="176">
      <c r="A176" s="30" t="n"/>
      <c r="B176" s="30" t="n"/>
      <c r="C176" s="30" t="n"/>
      <c r="D176" s="30" t="n"/>
      <c r="E176" s="30" t="n"/>
      <c r="F176" s="30" t="n"/>
      <c r="G176" s="30" t="n"/>
      <c r="H176" s="30" t="n"/>
      <c r="I176" s="30" t="n"/>
      <c r="J176" s="30" t="n"/>
      <c r="K176" s="30" t="n"/>
      <c r="L176" s="30" t="n"/>
      <c r="M176" s="30" t="n"/>
      <c r="N176" s="31" t="n"/>
      <c r="O176" s="30" t="n"/>
      <c r="P176" s="32" t="n"/>
      <c r="Q176" s="33" t="n"/>
    </row>
    <row r="177">
      <c r="A177" s="30" t="n"/>
      <c r="B177" s="30" t="n"/>
      <c r="C177" s="30" t="n"/>
      <c r="D177" s="30" t="n"/>
      <c r="E177" s="30" t="n"/>
      <c r="F177" s="30" t="n"/>
      <c r="G177" s="30" t="n"/>
      <c r="H177" s="30" t="n"/>
      <c r="I177" s="30" t="n"/>
      <c r="J177" s="30" t="n"/>
      <c r="K177" s="30" t="n"/>
      <c r="L177" s="30" t="n"/>
      <c r="M177" s="30" t="n"/>
      <c r="N177" s="31" t="n"/>
      <c r="O177" s="30" t="n"/>
      <c r="P177" s="32" t="n"/>
      <c r="Q177" s="33" t="n"/>
    </row>
    <row r="178">
      <c r="A178" s="30" t="n"/>
      <c r="B178" s="30" t="n"/>
      <c r="C178" s="30" t="n"/>
      <c r="D178" s="30" t="n"/>
      <c r="E178" s="30" t="n"/>
      <c r="F178" s="30" t="n"/>
      <c r="G178" s="30" t="n"/>
      <c r="H178" s="30" t="n"/>
      <c r="I178" s="30" t="n"/>
      <c r="J178" s="30" t="n"/>
      <c r="K178" s="30" t="n"/>
      <c r="L178" s="30" t="n"/>
      <c r="M178" s="30" t="n"/>
      <c r="N178" s="31" t="n"/>
      <c r="O178" s="30" t="n"/>
      <c r="P178" s="32" t="n"/>
      <c r="Q178" s="33" t="n"/>
    </row>
    <row r="179">
      <c r="A179" s="30" t="n"/>
      <c r="B179" s="30" t="n"/>
      <c r="C179" s="30" t="n"/>
      <c r="D179" s="30" t="n"/>
      <c r="E179" s="30" t="n"/>
      <c r="F179" s="30" t="n"/>
      <c r="G179" s="30" t="n"/>
      <c r="H179" s="30" t="n"/>
      <c r="I179" s="30" t="n"/>
      <c r="J179" s="30" t="n"/>
      <c r="K179" s="30" t="n"/>
      <c r="L179" s="30" t="n"/>
      <c r="M179" s="30" t="n"/>
      <c r="N179" s="31" t="n"/>
      <c r="O179" s="30" t="n"/>
      <c r="P179" s="32" t="n"/>
      <c r="Q179" s="33" t="n"/>
    </row>
    <row r="180">
      <c r="A180" s="30" t="n"/>
      <c r="B180" s="30" t="n"/>
      <c r="C180" s="30" t="n"/>
      <c r="D180" s="30" t="n"/>
      <c r="E180" s="30" t="n"/>
      <c r="F180" s="30" t="n"/>
      <c r="G180" s="30" t="n"/>
      <c r="H180" s="30" t="n"/>
      <c r="I180" s="30" t="n"/>
      <c r="J180" s="30" t="n"/>
      <c r="K180" s="30" t="n"/>
      <c r="L180" s="30" t="n"/>
      <c r="M180" s="30" t="n"/>
      <c r="N180" s="31" t="n"/>
      <c r="O180" s="30" t="n"/>
      <c r="P180" s="32" t="n"/>
      <c r="Q180" s="33" t="n"/>
    </row>
    <row r="181">
      <c r="A181" s="30" t="n"/>
      <c r="B181" s="30" t="n"/>
      <c r="C181" s="30" t="n"/>
      <c r="D181" s="30" t="n"/>
      <c r="E181" s="30" t="n"/>
      <c r="F181" s="30" t="n"/>
      <c r="G181" s="30" t="n"/>
      <c r="H181" s="30" t="n"/>
      <c r="I181" s="30" t="n"/>
      <c r="J181" s="30" t="n"/>
      <c r="K181" s="30" t="n"/>
      <c r="L181" s="30" t="n"/>
      <c r="M181" s="30" t="n"/>
      <c r="N181" s="31" t="n"/>
      <c r="O181" s="30" t="n"/>
      <c r="P181" s="32" t="n"/>
      <c r="Q181" s="33" t="n"/>
    </row>
    <row r="182">
      <c r="A182" s="30" t="n"/>
      <c r="B182" s="30" t="n"/>
      <c r="C182" s="30" t="n"/>
      <c r="D182" s="30" t="n"/>
      <c r="E182" s="30" t="n"/>
      <c r="F182" s="30" t="n"/>
      <c r="G182" s="30" t="n"/>
      <c r="H182" s="30" t="n"/>
      <c r="I182" s="30" t="n"/>
      <c r="J182" s="30" t="n"/>
      <c r="K182" s="30" t="n"/>
      <c r="L182" s="30" t="n"/>
      <c r="M182" s="30" t="n"/>
      <c r="N182" s="31" t="n"/>
      <c r="O182" s="30" t="n"/>
      <c r="P182" s="32" t="n"/>
      <c r="Q182" s="33" t="n"/>
    </row>
    <row r="183">
      <c r="A183" s="30" t="n"/>
      <c r="B183" s="30" t="n"/>
      <c r="C183" s="30" t="n"/>
      <c r="D183" s="30" t="n"/>
      <c r="E183" s="30" t="n"/>
      <c r="F183" s="30" t="n"/>
      <c r="G183" s="30" t="n"/>
      <c r="H183" s="30" t="n"/>
      <c r="I183" s="30" t="n"/>
      <c r="J183" s="30" t="n"/>
      <c r="K183" s="30" t="n"/>
      <c r="L183" s="30" t="n"/>
      <c r="M183" s="30" t="n"/>
      <c r="N183" s="31" t="n"/>
      <c r="O183" s="30" t="n"/>
      <c r="P183" s="32" t="n"/>
      <c r="Q183" s="33" t="n"/>
    </row>
    <row r="184">
      <c r="A184" s="30" t="n"/>
      <c r="B184" s="30" t="n"/>
      <c r="C184" s="30" t="n"/>
      <c r="D184" s="30" t="n"/>
      <c r="E184" s="30" t="n"/>
      <c r="F184" s="30" t="n"/>
      <c r="G184" s="30" t="n"/>
      <c r="H184" s="30" t="n"/>
      <c r="I184" s="30" t="n"/>
      <c r="J184" s="30" t="n"/>
      <c r="K184" s="30" t="n"/>
      <c r="L184" s="30" t="n"/>
      <c r="M184" s="30" t="n"/>
      <c r="N184" s="31" t="n"/>
      <c r="O184" s="30" t="n"/>
      <c r="P184" s="32" t="n"/>
      <c r="Q184" s="33" t="n"/>
    </row>
    <row r="185">
      <c r="A185" s="30" t="n"/>
      <c r="B185" s="30" t="n"/>
      <c r="C185" s="30" t="n"/>
      <c r="D185" s="30" t="n"/>
      <c r="E185" s="30" t="n"/>
      <c r="F185" s="30" t="n"/>
      <c r="G185" s="30" t="n"/>
      <c r="H185" s="30" t="n"/>
      <c r="I185" s="30" t="n"/>
      <c r="J185" s="30" t="n"/>
      <c r="K185" s="30" t="n"/>
      <c r="L185" s="30" t="n"/>
      <c r="M185" s="30" t="n"/>
      <c r="N185" s="31" t="n"/>
      <c r="O185" s="30" t="n"/>
      <c r="P185" s="32" t="n"/>
      <c r="Q185" s="33" t="n"/>
    </row>
    <row r="186">
      <c r="A186" s="30" t="n"/>
      <c r="B186" s="30" t="n"/>
      <c r="C186" s="30" t="n"/>
      <c r="D186" s="30" t="n"/>
      <c r="E186" s="30" t="n"/>
      <c r="F186" s="30" t="n"/>
      <c r="G186" s="30" t="n"/>
      <c r="H186" s="30" t="n"/>
      <c r="I186" s="30" t="n"/>
      <c r="J186" s="30" t="n"/>
      <c r="K186" s="30" t="n"/>
      <c r="L186" s="30" t="n"/>
      <c r="M186" s="30" t="n"/>
      <c r="N186" s="31" t="n"/>
      <c r="O186" s="30" t="n"/>
      <c r="P186" s="32" t="n"/>
      <c r="Q186" s="33" t="n"/>
    </row>
    <row r="187">
      <c r="A187" s="30" t="n"/>
      <c r="B187" s="30" t="n"/>
      <c r="C187" s="30" t="n"/>
      <c r="D187" s="30" t="n"/>
      <c r="E187" s="30" t="n"/>
      <c r="F187" s="30" t="n"/>
      <c r="G187" s="30" t="n"/>
      <c r="H187" s="30" t="n"/>
      <c r="I187" s="30" t="n"/>
      <c r="J187" s="30" t="n"/>
      <c r="K187" s="30" t="n"/>
      <c r="L187" s="30" t="n"/>
      <c r="M187" s="30" t="n"/>
      <c r="N187" s="31" t="n"/>
      <c r="O187" s="30" t="n"/>
      <c r="P187" s="32" t="n"/>
      <c r="Q187" s="33" t="n"/>
    </row>
    <row r="188">
      <c r="A188" s="30" t="n"/>
      <c r="B188" s="30" t="n"/>
      <c r="C188" s="30" t="n"/>
      <c r="D188" s="30" t="n"/>
      <c r="E188" s="30" t="n"/>
      <c r="F188" s="30" t="n"/>
      <c r="G188" s="30" t="n"/>
      <c r="H188" s="30" t="n"/>
      <c r="I188" s="30" t="n"/>
      <c r="J188" s="30" t="n"/>
      <c r="K188" s="30" t="n"/>
      <c r="L188" s="30" t="n"/>
      <c r="M188" s="30" t="n"/>
      <c r="N188" s="31" t="n"/>
      <c r="O188" s="30" t="n"/>
      <c r="P188" s="32" t="n"/>
      <c r="Q188" s="33" t="n"/>
    </row>
    <row r="189">
      <c r="A189" s="30" t="n"/>
      <c r="B189" s="30" t="n"/>
      <c r="C189" s="30" t="n"/>
      <c r="D189" s="30" t="n"/>
      <c r="E189" s="30" t="n"/>
      <c r="F189" s="30" t="n"/>
      <c r="G189" s="30" t="n"/>
      <c r="H189" s="30" t="n"/>
      <c r="I189" s="30" t="n"/>
      <c r="J189" s="30" t="n"/>
      <c r="K189" s="30" t="n"/>
      <c r="L189" s="30" t="n"/>
      <c r="M189" s="30" t="n"/>
      <c r="N189" s="31" t="n"/>
      <c r="O189" s="30" t="n"/>
      <c r="P189" s="32" t="n"/>
      <c r="Q189" s="33" t="n"/>
    </row>
    <row r="190">
      <c r="A190" s="30" t="n"/>
      <c r="B190" s="30" t="n"/>
      <c r="C190" s="30" t="n"/>
      <c r="D190" s="30" t="n"/>
      <c r="E190" s="30" t="n"/>
      <c r="F190" s="30" t="n"/>
      <c r="G190" s="30" t="n"/>
      <c r="H190" s="30" t="n"/>
      <c r="I190" s="30" t="n"/>
      <c r="J190" s="30" t="n"/>
      <c r="K190" s="30" t="n"/>
      <c r="L190" s="30" t="n"/>
      <c r="M190" s="30" t="n"/>
      <c r="N190" s="31" t="n"/>
      <c r="O190" s="30" t="n"/>
      <c r="P190" s="32" t="n"/>
      <c r="Q190" s="33" t="n"/>
    </row>
    <row r="191">
      <c r="A191" s="30" t="n"/>
      <c r="B191" s="30" t="n"/>
      <c r="C191" s="30" t="n"/>
      <c r="D191" s="30" t="n"/>
      <c r="E191" s="30" t="n"/>
      <c r="F191" s="30" t="n"/>
      <c r="G191" s="30" t="n"/>
      <c r="H191" s="30" t="n"/>
      <c r="I191" s="30" t="n"/>
      <c r="J191" s="30" t="n"/>
      <c r="K191" s="30" t="n"/>
      <c r="L191" s="30" t="n"/>
      <c r="M191" s="30" t="n"/>
      <c r="N191" s="31" t="n"/>
      <c r="O191" s="30" t="n"/>
      <c r="P191" s="32" t="n"/>
      <c r="Q191" s="33" t="n"/>
    </row>
    <row r="192">
      <c r="A192" s="30" t="n"/>
      <c r="B192" s="30" t="n"/>
      <c r="C192" s="30" t="n"/>
      <c r="D192" s="30" t="n"/>
      <c r="E192" s="30" t="n"/>
      <c r="F192" s="30" t="n"/>
      <c r="G192" s="30" t="n"/>
      <c r="H192" s="30" t="n"/>
      <c r="I192" s="30" t="n"/>
      <c r="J192" s="30" t="n"/>
      <c r="K192" s="30" t="n"/>
      <c r="L192" s="30" t="n"/>
      <c r="M192" s="30" t="n"/>
      <c r="N192" s="31" t="n"/>
      <c r="O192" s="30" t="n"/>
      <c r="P192" s="32" t="n"/>
      <c r="Q192" s="33" t="n"/>
    </row>
    <row r="193">
      <c r="A193" s="30" t="n"/>
      <c r="B193" s="30" t="n"/>
      <c r="C193" s="30" t="n"/>
      <c r="D193" s="30" t="n"/>
      <c r="E193" s="30" t="n"/>
      <c r="F193" s="30" t="n"/>
      <c r="G193" s="30" t="n"/>
      <c r="H193" s="30" t="n"/>
      <c r="I193" s="30" t="n"/>
      <c r="J193" s="30" t="n"/>
      <c r="K193" s="30" t="n"/>
      <c r="L193" s="30" t="n"/>
      <c r="M193" s="30" t="n"/>
      <c r="N193" s="31" t="n"/>
      <c r="O193" s="30" t="n"/>
      <c r="P193" s="32" t="n"/>
      <c r="Q193" s="33" t="n"/>
    </row>
    <row r="194">
      <c r="A194" s="30" t="n"/>
      <c r="B194" s="30" t="n"/>
      <c r="C194" s="30" t="n"/>
      <c r="D194" s="30" t="n"/>
      <c r="E194" s="30" t="n"/>
      <c r="F194" s="30" t="n"/>
      <c r="G194" s="30" t="n"/>
      <c r="H194" s="30" t="n"/>
      <c r="I194" s="30" t="n"/>
      <c r="J194" s="30" t="n"/>
      <c r="K194" s="30" t="n"/>
      <c r="L194" s="30" t="n"/>
      <c r="M194" s="30" t="n"/>
      <c r="N194" s="31" t="n"/>
      <c r="O194" s="30" t="n"/>
      <c r="P194" s="32" t="n"/>
      <c r="Q194" s="33" t="n"/>
    </row>
    <row r="195">
      <c r="A195" s="30" t="n"/>
      <c r="B195" s="30" t="n"/>
      <c r="C195" s="30" t="n"/>
      <c r="D195" s="30" t="n"/>
      <c r="E195" s="30" t="n"/>
      <c r="F195" s="30" t="n"/>
      <c r="G195" s="30" t="n"/>
      <c r="H195" s="30" t="n"/>
      <c r="I195" s="30" t="n"/>
      <c r="J195" s="30" t="n"/>
      <c r="K195" s="30" t="n"/>
      <c r="L195" s="30" t="n"/>
      <c r="M195" s="30" t="n"/>
      <c r="N195" s="31" t="n"/>
      <c r="O195" s="30" t="n"/>
      <c r="P195" s="32" t="n"/>
      <c r="Q195" s="33" t="n"/>
    </row>
    <row r="196">
      <c r="A196" s="30" t="n"/>
      <c r="B196" s="30" t="n"/>
      <c r="C196" s="30" t="n"/>
      <c r="D196" s="30" t="n"/>
      <c r="E196" s="30" t="n"/>
      <c r="F196" s="30" t="n"/>
      <c r="G196" s="30" t="n"/>
      <c r="H196" s="30" t="n"/>
      <c r="I196" s="30" t="n"/>
      <c r="J196" s="30" t="n"/>
      <c r="K196" s="30" t="n"/>
      <c r="L196" s="30" t="n"/>
      <c r="M196" s="30" t="n"/>
      <c r="N196" s="31" t="n"/>
      <c r="O196" s="30" t="n"/>
      <c r="P196" s="32" t="n"/>
      <c r="Q196" s="33" t="n"/>
    </row>
    <row r="197">
      <c r="A197" s="30" t="n"/>
      <c r="B197" s="30" t="n"/>
      <c r="C197" s="30" t="n"/>
      <c r="D197" s="30" t="n"/>
      <c r="E197" s="30" t="n"/>
      <c r="F197" s="30" t="n"/>
      <c r="G197" s="30" t="n"/>
      <c r="H197" s="30" t="n"/>
      <c r="I197" s="30" t="n"/>
      <c r="J197" s="30" t="n"/>
      <c r="K197" s="30" t="n"/>
      <c r="L197" s="30" t="n"/>
      <c r="M197" s="30" t="n"/>
      <c r="N197" s="31" t="n"/>
      <c r="O197" s="30" t="n"/>
      <c r="P197" s="32" t="n"/>
      <c r="Q197" s="33" t="n"/>
    </row>
    <row r="198">
      <c r="A198" s="30" t="n"/>
      <c r="B198" s="30" t="n"/>
      <c r="C198" s="30" t="n"/>
      <c r="D198" s="30" t="n"/>
      <c r="E198" s="30" t="n"/>
      <c r="F198" s="30" t="n"/>
      <c r="G198" s="30" t="n"/>
      <c r="H198" s="30" t="n"/>
      <c r="I198" s="30" t="n"/>
      <c r="J198" s="30" t="n"/>
      <c r="K198" s="30" t="n"/>
      <c r="L198" s="30" t="n"/>
      <c r="M198" s="30" t="n"/>
      <c r="N198" s="31" t="n"/>
      <c r="O198" s="30" t="n"/>
      <c r="P198" s="32" t="n"/>
      <c r="Q198" s="33" t="n"/>
    </row>
    <row r="199">
      <c r="A199" s="30" t="n"/>
      <c r="B199" s="30" t="n"/>
      <c r="C199" s="30" t="n"/>
      <c r="D199" s="30" t="n"/>
      <c r="E199" s="30" t="n"/>
      <c r="F199" s="30" t="n"/>
      <c r="G199" s="30" t="n"/>
      <c r="H199" s="30" t="n"/>
      <c r="I199" s="30" t="n"/>
      <c r="J199" s="30" t="n"/>
      <c r="K199" s="30" t="n"/>
      <c r="L199" s="30" t="n"/>
      <c r="M199" s="30" t="n"/>
      <c r="N199" s="31" t="n"/>
      <c r="O199" s="30" t="n"/>
      <c r="P199" s="32" t="n"/>
      <c r="Q199" s="33" t="n"/>
    </row>
    <row r="200">
      <c r="A200" s="30" t="n"/>
      <c r="B200" s="30" t="n"/>
      <c r="C200" s="30" t="n"/>
      <c r="D200" s="30" t="n"/>
      <c r="E200" s="30" t="n"/>
      <c r="F200" s="30" t="n"/>
      <c r="G200" s="30" t="n"/>
      <c r="H200" s="30" t="n"/>
      <c r="I200" s="30" t="n"/>
      <c r="J200" s="30" t="n"/>
      <c r="K200" s="30" t="n"/>
      <c r="L200" s="30" t="n"/>
      <c r="M200" s="30" t="n"/>
      <c r="N200" s="31" t="n"/>
      <c r="O200" s="30" t="n"/>
      <c r="P200" s="32" t="n"/>
      <c r="Q200" s="33" t="n"/>
    </row>
    <row r="201">
      <c r="A201" s="30" t="n"/>
      <c r="B201" s="30" t="n"/>
      <c r="C201" s="30" t="n"/>
      <c r="D201" s="30" t="n"/>
      <c r="E201" s="30" t="n"/>
      <c r="F201" s="30" t="n"/>
      <c r="G201" s="30" t="n"/>
      <c r="H201" s="30" t="n"/>
      <c r="I201" s="30" t="n"/>
      <c r="J201" s="30" t="n"/>
      <c r="K201" s="30" t="n"/>
      <c r="L201" s="30" t="n"/>
      <c r="M201" s="30" t="n"/>
      <c r="N201" s="31" t="n"/>
      <c r="O201" s="30" t="n"/>
      <c r="P201" s="32" t="n"/>
      <c r="Q201" s="33" t="n"/>
    </row>
    <row r="202">
      <c r="A202" s="30" t="n"/>
      <c r="B202" s="30" t="n"/>
      <c r="C202" s="30" t="n"/>
      <c r="D202" s="30" t="n"/>
      <c r="E202" s="30" t="n"/>
      <c r="F202" s="30" t="n"/>
      <c r="G202" s="30" t="n"/>
      <c r="H202" s="30" t="n"/>
      <c r="I202" s="30" t="n"/>
      <c r="J202" s="30" t="n"/>
      <c r="K202" s="30" t="n"/>
      <c r="L202" s="30" t="n"/>
      <c r="M202" s="30" t="n"/>
      <c r="N202" s="31" t="n"/>
      <c r="O202" s="30" t="n"/>
      <c r="P202" s="32" t="n"/>
      <c r="Q202" s="33" t="n"/>
    </row>
    <row r="203">
      <c r="A203" s="30" t="n"/>
      <c r="B203" s="30" t="n"/>
      <c r="C203" s="30" t="n"/>
      <c r="D203" s="30" t="n"/>
      <c r="E203" s="30" t="n"/>
      <c r="F203" s="30" t="n"/>
      <c r="G203" s="30" t="n"/>
      <c r="H203" s="30" t="n"/>
      <c r="I203" s="30" t="n"/>
      <c r="J203" s="30" t="n"/>
      <c r="K203" s="30" t="n"/>
      <c r="L203" s="30" t="n"/>
      <c r="M203" s="30" t="n"/>
      <c r="N203" s="31" t="n"/>
      <c r="O203" s="30" t="n"/>
      <c r="P203" s="32" t="n"/>
      <c r="Q203" s="33" t="n"/>
    </row>
    <row r="204">
      <c r="A204" s="30" t="n"/>
      <c r="B204" s="30" t="n"/>
      <c r="C204" s="30" t="n"/>
      <c r="D204" s="30" t="n"/>
      <c r="E204" s="30" t="n"/>
      <c r="F204" s="30" t="n"/>
      <c r="G204" s="30" t="n"/>
      <c r="H204" s="30" t="n"/>
      <c r="I204" s="30" t="n"/>
      <c r="J204" s="30" t="n"/>
      <c r="K204" s="30" t="n"/>
      <c r="L204" s="30" t="n"/>
      <c r="M204" s="30" t="n"/>
      <c r="N204" s="31" t="n"/>
      <c r="O204" s="30" t="n"/>
      <c r="P204" s="32" t="n"/>
      <c r="Q204" s="33" t="n"/>
    </row>
    <row r="205">
      <c r="A205" s="30" t="n"/>
      <c r="B205" s="30" t="n"/>
      <c r="C205" s="30" t="n"/>
      <c r="D205" s="30" t="n"/>
      <c r="E205" s="30" t="n"/>
      <c r="F205" s="30" t="n"/>
      <c r="G205" s="30" t="n"/>
      <c r="H205" s="30" t="n"/>
      <c r="I205" s="30" t="n"/>
      <c r="J205" s="30" t="n"/>
      <c r="K205" s="30" t="n"/>
      <c r="L205" s="30" t="n"/>
      <c r="M205" s="30" t="n"/>
      <c r="N205" s="31" t="n"/>
      <c r="O205" s="30" t="n"/>
      <c r="P205" s="32" t="n"/>
      <c r="Q205" s="33" t="n"/>
    </row>
    <row r="206">
      <c r="A206" s="30" t="n"/>
      <c r="B206" s="30" t="n"/>
      <c r="C206" s="30" t="n"/>
      <c r="D206" s="30" t="n"/>
      <c r="E206" s="30" t="n"/>
      <c r="F206" s="30" t="n"/>
      <c r="G206" s="30" t="n"/>
      <c r="H206" s="30" t="n"/>
      <c r="I206" s="30" t="n"/>
      <c r="J206" s="30" t="n"/>
      <c r="K206" s="30" t="n"/>
      <c r="L206" s="30" t="n"/>
      <c r="M206" s="30" t="n"/>
      <c r="N206" s="31" t="n"/>
      <c r="O206" s="30" t="n"/>
      <c r="P206" s="32" t="n"/>
      <c r="Q206" s="33" t="n"/>
    </row>
    <row r="207">
      <c r="A207" s="30" t="n"/>
      <c r="B207" s="30" t="n"/>
      <c r="C207" s="30" t="n"/>
      <c r="D207" s="30" t="n"/>
      <c r="E207" s="30" t="n"/>
      <c r="F207" s="30" t="n"/>
      <c r="G207" s="30" t="n"/>
      <c r="H207" s="30" t="n"/>
      <c r="I207" s="30" t="n"/>
      <c r="J207" s="30" t="n"/>
      <c r="K207" s="30" t="n"/>
      <c r="L207" s="30" t="n"/>
      <c r="M207" s="30" t="n"/>
      <c r="N207" s="31" t="n"/>
      <c r="O207" s="30" t="n"/>
      <c r="P207" s="32" t="n"/>
      <c r="Q207" s="33" t="n"/>
    </row>
    <row r="208">
      <c r="A208" s="30" t="n"/>
      <c r="B208" s="30" t="n"/>
      <c r="C208" s="30" t="n"/>
      <c r="D208" s="30" t="n"/>
      <c r="E208" s="30" t="n"/>
      <c r="F208" s="30" t="n"/>
      <c r="G208" s="30" t="n"/>
      <c r="H208" s="30" t="n"/>
      <c r="I208" s="30" t="n"/>
      <c r="J208" s="30" t="n"/>
      <c r="K208" s="30" t="n"/>
      <c r="L208" s="30" t="n"/>
      <c r="M208" s="30" t="n"/>
      <c r="N208" s="31" t="n"/>
      <c r="O208" s="30" t="n"/>
      <c r="P208" s="32" t="n"/>
      <c r="Q208" s="33" t="n"/>
    </row>
    <row r="209">
      <c r="A209" s="30" t="n"/>
      <c r="B209" s="30" t="n"/>
      <c r="C209" s="30" t="n"/>
      <c r="D209" s="30" t="n"/>
      <c r="E209" s="30" t="n"/>
      <c r="F209" s="30" t="n"/>
      <c r="G209" s="30" t="n"/>
      <c r="H209" s="30" t="n"/>
      <c r="I209" s="30" t="n"/>
      <c r="J209" s="30" t="n"/>
      <c r="K209" s="30" t="n"/>
      <c r="L209" s="30" t="n"/>
      <c r="M209" s="30" t="n"/>
      <c r="N209" s="31" t="n"/>
      <c r="O209" s="30" t="n"/>
      <c r="P209" s="32" t="n"/>
      <c r="Q209" s="33" t="n"/>
    </row>
    <row r="210">
      <c r="A210" s="30" t="n"/>
      <c r="B210" s="30" t="n"/>
      <c r="C210" s="30" t="n"/>
      <c r="D210" s="30" t="n"/>
      <c r="E210" s="30" t="n"/>
      <c r="F210" s="30" t="n"/>
      <c r="G210" s="30" t="n"/>
      <c r="H210" s="30" t="n"/>
      <c r="I210" s="30" t="n"/>
      <c r="J210" s="30" t="n"/>
      <c r="K210" s="30" t="n"/>
      <c r="L210" s="30" t="n"/>
      <c r="M210" s="30" t="n"/>
      <c r="N210" s="31" t="n"/>
      <c r="O210" s="30" t="n"/>
      <c r="P210" s="32" t="n"/>
      <c r="Q210" s="33" t="n"/>
    </row>
    <row r="211">
      <c r="A211" s="30" t="n"/>
      <c r="B211" s="30" t="n"/>
      <c r="C211" s="30" t="n"/>
      <c r="D211" s="30" t="n"/>
      <c r="E211" s="30" t="n"/>
      <c r="F211" s="30" t="n"/>
      <c r="G211" s="30" t="n"/>
      <c r="H211" s="30" t="n"/>
      <c r="I211" s="30" t="n"/>
      <c r="J211" s="30" t="n"/>
      <c r="K211" s="30" t="n"/>
      <c r="L211" s="30" t="n"/>
      <c r="M211" s="30" t="n"/>
      <c r="N211" s="31" t="n"/>
      <c r="O211" s="30" t="n"/>
      <c r="P211" s="32" t="n"/>
      <c r="Q211" s="33" t="n"/>
    </row>
    <row r="212">
      <c r="A212" s="30" t="n"/>
      <c r="B212" s="30" t="n"/>
      <c r="C212" s="30" t="n"/>
      <c r="D212" s="30" t="n"/>
      <c r="E212" s="30" t="n"/>
      <c r="F212" s="30" t="n"/>
      <c r="G212" s="30" t="n"/>
      <c r="H212" s="30" t="n"/>
      <c r="I212" s="30" t="n"/>
      <c r="J212" s="30" t="n"/>
      <c r="K212" s="30" t="n"/>
      <c r="L212" s="30" t="n"/>
      <c r="M212" s="30" t="n"/>
      <c r="N212" s="31" t="n"/>
      <c r="O212" s="30" t="n"/>
      <c r="P212" s="32" t="n"/>
      <c r="Q212" s="33" t="n"/>
    </row>
    <row r="213">
      <c r="A213" s="30" t="n"/>
      <c r="B213" s="30" t="n"/>
      <c r="C213" s="30" t="n"/>
      <c r="D213" s="30" t="n"/>
      <c r="E213" s="30" t="n"/>
      <c r="F213" s="30" t="n"/>
      <c r="G213" s="30" t="n"/>
      <c r="H213" s="30" t="n"/>
      <c r="I213" s="30" t="n"/>
      <c r="J213" s="30" t="n"/>
      <c r="K213" s="30" t="n"/>
      <c r="L213" s="30" t="n"/>
      <c r="M213" s="30" t="n"/>
      <c r="N213" s="31" t="n"/>
      <c r="O213" s="30" t="n"/>
      <c r="P213" s="32" t="n"/>
      <c r="Q213" s="33" t="n"/>
    </row>
    <row r="214">
      <c r="A214" s="30" t="n"/>
      <c r="B214" s="30" t="n"/>
      <c r="C214" s="30" t="n"/>
      <c r="D214" s="30" t="n"/>
      <c r="E214" s="30" t="n"/>
      <c r="F214" s="30" t="n"/>
      <c r="G214" s="30" t="n"/>
      <c r="H214" s="30" t="n"/>
      <c r="I214" s="30" t="n"/>
      <c r="J214" s="30" t="n"/>
      <c r="K214" s="30" t="n"/>
      <c r="L214" s="30" t="n"/>
      <c r="M214" s="30" t="n"/>
      <c r="N214" s="31" t="n"/>
      <c r="O214" s="30" t="n"/>
      <c r="P214" s="32" t="n"/>
      <c r="Q214" s="33" t="n"/>
    </row>
  </sheetData>
  <mergeCells count="1">
    <mergeCell ref="A2:P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9"/>
  <sheetViews>
    <sheetView workbookViewId="0">
      <pane ySplit="4" topLeftCell="A5" activePane="bottomLeft" state="frozen"/>
      <selection pane="bottomLeft" activeCell="A1" sqref="A1"/>
    </sheetView>
  </sheetViews>
  <sheetFormatPr baseColWidth="8" defaultRowHeight="15"/>
  <cols>
    <col width="22" customWidth="1" min="1" max="1"/>
    <col width="34" customWidth="1" min="2" max="2"/>
    <col width="13" customWidth="1" min="3" max="3"/>
    <col width="12" customWidth="1" min="4" max="4"/>
    <col width="10" customWidth="1" min="5" max="5"/>
    <col width="15" customWidth="1" min="6" max="6"/>
    <col width="20" customWidth="1" min="7" max="7"/>
    <col width="18" customWidth="1" min="8" max="8"/>
    <col width="20" customWidth="1" min="9" max="9"/>
    <col width="11" customWidth="1" min="10" max="10"/>
    <col width="15" customWidth="1" min="11" max="11"/>
  </cols>
  <sheetData>
    <row r="1">
      <c r="A1" s="1" t="inlineStr">
        <is>
          <t>Zuschläge, Nachlässe, Schadenfreiheitsrabatt</t>
        </is>
      </c>
    </row>
    <row r="2">
      <c r="A2" s="2" t="inlineStr">
        <is>
          <t>wert bei PROZENT als Faktor eintragen: 0,10 für 10 %. Nachlässe negativ: -0,10. voraussetzung_code füllen, wenn ein Faktor einen anderen bedingt.</t>
        </is>
      </c>
    </row>
    <row r="4" ht="34" customHeight="1">
      <c r="A4" s="9" t="inlineStr">
        <is>
          <t>code</t>
        </is>
      </c>
      <c r="B4" s="9" t="inlineStr">
        <is>
          <t>bezeichnung</t>
        </is>
      </c>
      <c r="C4" s="9" t="inlineStr">
        <is>
          <t>art</t>
        </is>
      </c>
      <c r="D4" s="9" t="inlineStr">
        <is>
          <t>rechenart</t>
        </is>
      </c>
      <c r="E4" s="9" t="inlineStr">
        <is>
          <t>wert</t>
        </is>
      </c>
      <c r="F4" s="9" t="inlineStr">
        <is>
          <t>gilt_fuer_sparte</t>
        </is>
      </c>
      <c r="G4" s="9" t="inlineStr">
        <is>
          <t>bedingung_merkmal</t>
        </is>
      </c>
      <c r="H4" s="9" t="inlineStr">
        <is>
          <t>bedingung_wert</t>
        </is>
      </c>
      <c r="I4" s="9" t="inlineStr">
        <is>
          <t>voraussetzung_code</t>
        </is>
      </c>
      <c r="J4" s="9" t="inlineStr">
        <is>
          <t>reihenfolge</t>
        </is>
      </c>
      <c r="K4" s="9" t="inlineStr">
        <is>
          <t>voraussetzung_ok</t>
        </is>
      </c>
    </row>
    <row r="5">
      <c r="A5" s="11" t="inlineStr">
        <is>
          <t>ALTER_SEGEL_20</t>
        </is>
      </c>
      <c r="B5" s="11" t="inlineStr">
        <is>
          <t>Segelboote älter 20 Jahre</t>
        </is>
      </c>
      <c r="C5" s="11" t="inlineStr">
        <is>
          <t>ZUSCHLAG</t>
        </is>
      </c>
      <c r="D5" s="11" t="inlineStr">
        <is>
          <t>PROZENT</t>
        </is>
      </c>
      <c r="E5" s="17" t="n">
        <v>0.1</v>
      </c>
      <c r="F5" s="11" t="inlineStr">
        <is>
          <t>KASKO</t>
        </is>
      </c>
      <c r="G5" s="11" t="inlineStr">
        <is>
          <t>fahrzeugart</t>
        </is>
      </c>
      <c r="H5" s="11" t="inlineStr">
        <is>
          <t>SEGELBOOT</t>
        </is>
      </c>
      <c r="I5" s="11" t="n"/>
      <c r="J5" s="11" t="n">
        <v>10</v>
      </c>
      <c r="K5" s="28">
        <f>IF(I5="","",IF(COUNTIF($A$5:$A$69,I5)=0,"FEHLT","ok"))</f>
        <v/>
      </c>
    </row>
    <row r="6">
      <c r="A6" s="11" t="inlineStr">
        <is>
          <t>ALTER_MOTOR_15</t>
        </is>
      </c>
      <c r="B6" s="11" t="inlineStr">
        <is>
          <t>Motorboote älter 15 Jahre</t>
        </is>
      </c>
      <c r="C6" s="11" t="inlineStr">
        <is>
          <t>ZUSCHLAG</t>
        </is>
      </c>
      <c r="D6" s="11" t="inlineStr">
        <is>
          <t>PROZENT</t>
        </is>
      </c>
      <c r="E6" s="17" t="n">
        <v>0.1</v>
      </c>
      <c r="F6" s="11" t="inlineStr">
        <is>
          <t>KASKO</t>
        </is>
      </c>
      <c r="G6" s="11" t="inlineStr">
        <is>
          <t>fahrzeugart</t>
        </is>
      </c>
      <c r="H6" s="11" t="inlineStr">
        <is>
          <t>MOTORBOOT</t>
        </is>
      </c>
      <c r="I6" s="11" t="n"/>
      <c r="J6" s="11" t="n">
        <v>10</v>
      </c>
      <c r="K6" s="28">
        <f>IF(I6="","",IF(COUNTIF($A$5:$A$69,I6)=0,"FEHLT","ok"))</f>
        <v/>
      </c>
    </row>
    <row r="7">
      <c r="A7" s="11" t="inlineStr">
        <is>
          <t>SCHLAUCHBOOT</t>
        </is>
      </c>
      <c r="B7" s="11" t="inlineStr">
        <is>
          <t>Schlauchboote</t>
        </is>
      </c>
      <c r="C7" s="11" t="inlineStr">
        <is>
          <t>ZUSCHLAG</t>
        </is>
      </c>
      <c r="D7" s="11" t="inlineStr">
        <is>
          <t>PROZENT</t>
        </is>
      </c>
      <c r="E7" s="17" t="n">
        <v>0.2</v>
      </c>
      <c r="F7" s="11" t="inlineStr">
        <is>
          <t>KASKO</t>
        </is>
      </c>
      <c r="G7" s="11" t="n"/>
      <c r="H7" s="11" t="n"/>
      <c r="I7" s="11" t="n"/>
      <c r="J7" s="11" t="n">
        <v>10</v>
      </c>
      <c r="K7" s="28">
        <f>IF(I7="","",IF(COUNTIF($A$5:$A$69,I7)=0,"FEHLT","ok"))</f>
        <v/>
      </c>
    </row>
    <row r="8">
      <c r="A8" s="11" t="inlineStr">
        <is>
          <t>CHARTER_MIT_SKIPPER</t>
        </is>
      </c>
      <c r="B8" s="11" t="inlineStr">
        <is>
          <t>Charterrisiko mit Skipper</t>
        </is>
      </c>
      <c r="C8" s="11" t="inlineStr">
        <is>
          <t>ZUSCHLAG</t>
        </is>
      </c>
      <c r="D8" s="11" t="inlineStr">
        <is>
          <t>PROZENT</t>
        </is>
      </c>
      <c r="E8" s="17" t="n">
        <v>0.25</v>
      </c>
      <c r="F8" s="11" t="inlineStr">
        <is>
          <t>KASKO</t>
        </is>
      </c>
      <c r="G8" s="11" t="n"/>
      <c r="H8" s="11" t="n"/>
      <c r="I8" s="11" t="n"/>
      <c r="J8" s="11" t="n">
        <v>20</v>
      </c>
      <c r="K8" s="28">
        <f>IF(I8="","",IF(COUNTIF($A$5:$A$69,I8)=0,"FEHLT","ok"))</f>
        <v/>
      </c>
    </row>
    <row r="9">
      <c r="A9" s="11" t="inlineStr">
        <is>
          <t>CHARTER_OHNE_SKIPPER</t>
        </is>
      </c>
      <c r="B9" s="11" t="inlineStr">
        <is>
          <t>Charterrisiko ohne Skipper</t>
        </is>
      </c>
      <c r="C9" s="11" t="inlineStr">
        <is>
          <t>ZUSCHLAG</t>
        </is>
      </c>
      <c r="D9" s="11" t="inlineStr">
        <is>
          <t>PROZENT</t>
        </is>
      </c>
      <c r="E9" s="17" t="n">
        <v>0.5</v>
      </c>
      <c r="F9" s="11" t="inlineStr">
        <is>
          <t>KASKO</t>
        </is>
      </c>
      <c r="G9" s="11" t="n"/>
      <c r="H9" s="11" t="n"/>
      <c r="I9" s="11" t="n"/>
      <c r="J9" s="11" t="n">
        <v>20</v>
      </c>
      <c r="K9" s="28">
        <f>IF(I9="","",IF(COUNTIF($A$5:$A$69,I9)=0,"FEHLT","ok"))</f>
        <v/>
      </c>
    </row>
    <row r="10">
      <c r="A10" s="11" t="inlineStr">
        <is>
          <t>UNTERSCHLAGUNG</t>
        </is>
      </c>
      <c r="B10" s="11" t="inlineStr">
        <is>
          <t>Unterschlagungsrisiko</t>
        </is>
      </c>
      <c r="C10" s="11" t="inlineStr">
        <is>
          <t>ZUSCHLAG</t>
        </is>
      </c>
      <c r="D10" s="11" t="inlineStr">
        <is>
          <t>PROZENT</t>
        </is>
      </c>
      <c r="E10" s="17" t="n">
        <v>0.3</v>
      </c>
      <c r="F10" s="11" t="inlineStr">
        <is>
          <t>KASKO</t>
        </is>
      </c>
      <c r="G10" s="11" t="n"/>
      <c r="H10" s="11" t="n"/>
      <c r="I10" s="11" t="inlineStr">
        <is>
          <t>CHARTER_OHNE_SKIPPER</t>
        </is>
      </c>
      <c r="J10" s="11" t="n">
        <v>30</v>
      </c>
      <c r="K10" s="28">
        <f>IF(I10="","",IF(COUNTIF($A$5:$A$69,I10)=0,"FEHLT","ok"))</f>
        <v/>
      </c>
    </row>
    <row r="11">
      <c r="A11" s="11" t="inlineStr">
        <is>
          <t>SEEN_NACHLASS</t>
        </is>
      </c>
      <c r="B11" s="11" t="inlineStr">
        <is>
          <t>Nachlass Bodensee, Chiemsee, Starnberger See u. a.</t>
        </is>
      </c>
      <c r="C11" s="11" t="inlineStr">
        <is>
          <t>NACHLASS</t>
        </is>
      </c>
      <c r="D11" s="11" t="inlineStr">
        <is>
          <t>PROZENT</t>
        </is>
      </c>
      <c r="E11" s="17" t="n">
        <v>-0.1</v>
      </c>
      <c r="F11" s="11" t="inlineStr">
        <is>
          <t>KASKO</t>
        </is>
      </c>
      <c r="G11" s="11" t="inlineStr">
        <is>
          <t>fahrtgebiet</t>
        </is>
      </c>
      <c r="H11" s="11" t="inlineStr">
        <is>
          <t>DE_BINNEN</t>
        </is>
      </c>
      <c r="I11" s="11" t="n"/>
      <c r="J11" s="11" t="n">
        <v>40</v>
      </c>
      <c r="K11" s="28">
        <f>IF(I11="","",IF(COUNTIF($A$5:$A$69,I11)=0,"FEHLT","ok"))</f>
        <v/>
      </c>
    </row>
    <row r="12">
      <c r="A12" s="11" t="inlineStr">
        <is>
          <t>PREMIUMWERFT</t>
        </is>
      </c>
      <c r="B12" s="11" t="inlineStr">
        <is>
          <t>Nachlass Premiumhersteller (Liste in 04_Regeln)</t>
        </is>
      </c>
      <c r="C12" s="11" t="inlineStr">
        <is>
          <t>NACHLASS</t>
        </is>
      </c>
      <c r="D12" s="11" t="inlineStr">
        <is>
          <t>PROZENT</t>
        </is>
      </c>
      <c r="E12" s="17" t="n">
        <v>-0.1</v>
      </c>
      <c r="F12" s="11" t="inlineStr">
        <is>
          <t>KASKO</t>
        </is>
      </c>
      <c r="G12" s="11" t="inlineStr">
        <is>
          <t>fahrzeugart</t>
        </is>
      </c>
      <c r="H12" s="11" t="inlineStr">
        <is>
          <t>SEGELBOOT</t>
        </is>
      </c>
      <c r="I12" s="11" t="n"/>
      <c r="J12" s="11" t="n">
        <v>40</v>
      </c>
      <c r="K12" s="28">
        <f>IF(I12="","",IF(COUNTIF($A$5:$A$69,I12)=0,"FEHLT","ok"))</f>
        <v/>
      </c>
    </row>
    <row r="13">
      <c r="A13" s="11" t="inlineStr">
        <is>
          <t>VERDRAENGER_150KW</t>
        </is>
      </c>
      <c r="B13" s="11" t="inlineStr">
        <is>
          <t>Motoryacht Verdränger bis 150 kW Innenborder</t>
        </is>
      </c>
      <c r="C13" s="11" t="inlineStr">
        <is>
          <t>NACHLASS</t>
        </is>
      </c>
      <c r="D13" s="11" t="inlineStr">
        <is>
          <t>PROZENT</t>
        </is>
      </c>
      <c r="E13" s="17" t="n">
        <v>-0.1</v>
      </c>
      <c r="F13" s="11" t="inlineStr">
        <is>
          <t>KASKO</t>
        </is>
      </c>
      <c r="G13" s="11" t="n"/>
      <c r="H13" s="11" t="n"/>
      <c r="I13" s="11" t="n"/>
      <c r="J13" s="11" t="n">
        <v>40</v>
      </c>
      <c r="K13" s="28">
        <f>IF(I13="","",IF(COUNTIF($A$5:$A$69,I13)=0,"FEHLT","ok"))</f>
        <v/>
      </c>
    </row>
    <row r="14">
      <c r="A14" s="11" t="inlineStr">
        <is>
          <t>SFR_J1</t>
        </is>
      </c>
      <c r="B14" s="11" t="inlineStr">
        <is>
          <t>Schadenfreiheitsrabatt nach 1. Versicherungsjahr</t>
        </is>
      </c>
      <c r="C14" s="11" t="inlineStr">
        <is>
          <t>SFR</t>
        </is>
      </c>
      <c r="D14" s="11" t="inlineStr">
        <is>
          <t>PROZENT</t>
        </is>
      </c>
      <c r="E14" s="17" t="n">
        <v>-0.15</v>
      </c>
      <c r="F14" s="11" t="inlineStr">
        <is>
          <t>KASKO</t>
        </is>
      </c>
      <c r="G14" s="11" t="n"/>
      <c r="H14" s="11" t="n"/>
      <c r="I14" s="11" t="n"/>
      <c r="J14" s="11" t="n">
        <v>90</v>
      </c>
      <c r="K14" s="28">
        <f>IF(I14="","",IF(COUNTIF($A$5:$A$69,I14)=0,"FEHLT","ok"))</f>
        <v/>
      </c>
    </row>
    <row r="15">
      <c r="A15" s="11" t="inlineStr">
        <is>
          <t>SFR_J2</t>
        </is>
      </c>
      <c r="B15" s="11" t="inlineStr">
        <is>
          <t>Schadenfreiheitsrabatt nach 2. Versicherungsjahr</t>
        </is>
      </c>
      <c r="C15" s="11" t="inlineStr">
        <is>
          <t>SFR</t>
        </is>
      </c>
      <c r="D15" s="11" t="inlineStr">
        <is>
          <t>PROZENT</t>
        </is>
      </c>
      <c r="E15" s="17" t="n">
        <v>-0.25</v>
      </c>
      <c r="F15" s="11" t="inlineStr">
        <is>
          <t>KASKO</t>
        </is>
      </c>
      <c r="G15" s="11" t="n"/>
      <c r="H15" s="11" t="n"/>
      <c r="I15" s="11" t="n"/>
      <c r="J15" s="11" t="n">
        <v>90</v>
      </c>
      <c r="K15" s="28">
        <f>IF(I15="","",IF(COUNTIF($A$5:$A$69,I15)=0,"FEHLT","ok"))</f>
        <v/>
      </c>
    </row>
    <row r="16">
      <c r="A16" s="11" t="inlineStr">
        <is>
          <t>SFR_J3</t>
        </is>
      </c>
      <c r="B16" s="11" t="inlineStr">
        <is>
          <t>Schadenfreiheitsrabatt ab 3. Versicherungsjahr</t>
        </is>
      </c>
      <c r="C16" s="11" t="inlineStr">
        <is>
          <t>SFR</t>
        </is>
      </c>
      <c r="D16" s="11" t="inlineStr">
        <is>
          <t>PROZENT</t>
        </is>
      </c>
      <c r="E16" s="17" t="n">
        <v>-0.4</v>
      </c>
      <c r="F16" s="11" t="inlineStr">
        <is>
          <t>KASKO</t>
        </is>
      </c>
      <c r="G16" s="11" t="n"/>
      <c r="H16" s="11" t="n"/>
      <c r="I16" s="11" t="n"/>
      <c r="J16" s="11" t="n">
        <v>90</v>
      </c>
      <c r="K16" s="28">
        <f>IF(I16="","",IF(COUNTIF($A$5:$A$69,I16)=0,"FEHLT","ok"))</f>
        <v/>
      </c>
    </row>
    <row r="17">
      <c r="A17" s="11" t="inlineStr">
        <is>
          <t>VERCHARTERUNG_AT</t>
        </is>
      </c>
      <c r="B17" s="11" t="inlineStr">
        <is>
          <t>Aufschlag Vercharterung (Draft 2026)</t>
        </is>
      </c>
      <c r="C17" s="11" t="inlineStr">
        <is>
          <t>ZUSCHLAG</t>
        </is>
      </c>
      <c r="D17" s="11" t="inlineStr">
        <is>
          <t>BETRAG</t>
        </is>
      </c>
      <c r="E17" s="17" t="n">
        <v>270</v>
      </c>
      <c r="F17" s="11" t="inlineStr">
        <is>
          <t>HAFTPFLICHT</t>
        </is>
      </c>
      <c r="G17" s="11" t="n"/>
      <c r="H17" s="11" t="n"/>
      <c r="I17" s="11" t="n"/>
      <c r="J17" s="11" t="n">
        <v>20</v>
      </c>
      <c r="K17" s="28">
        <f>IF(I17="","",IF(COUNTIF($A$5:$A$69,I17)=0,"FEHLT","ok"))</f>
        <v/>
      </c>
    </row>
    <row r="18">
      <c r="K18" s="29">
        <f>IF(I18="","",IF(COUNTIF($A$5:$A$69,I18)=0,"FEHLT","ok"))</f>
        <v/>
      </c>
    </row>
    <row r="19">
      <c r="A19" s="13" t="n"/>
      <c r="B19" s="13" t="n"/>
      <c r="C19" s="13" t="n"/>
      <c r="D19" s="13" t="n"/>
      <c r="E19" s="13" t="n"/>
      <c r="F19" s="13" t="n"/>
      <c r="G19" s="13" t="n"/>
      <c r="H19" s="13" t="n"/>
      <c r="I19" s="13" t="n"/>
      <c r="J19" s="13" t="n"/>
      <c r="K19" s="29">
        <f>IF(I19="","",IF(COUNTIF($A$5:$A$69,I19)=0,"FEHLT","ok"))</f>
        <v/>
      </c>
    </row>
    <row r="20">
      <c r="A20" s="13" t="n"/>
      <c r="B20" s="13" t="n"/>
      <c r="C20" s="13" t="n"/>
      <c r="D20" s="13" t="n"/>
      <c r="E20" s="13" t="n"/>
      <c r="F20" s="13" t="n"/>
      <c r="G20" s="13" t="n"/>
      <c r="H20" s="13" t="n"/>
      <c r="I20" s="13" t="n"/>
      <c r="J20" s="13" t="n"/>
      <c r="K20" s="29">
        <f>IF(I20="","",IF(COUNTIF($A$5:$A$69,I20)=0,"FEHLT","ok"))</f>
        <v/>
      </c>
    </row>
    <row r="21">
      <c r="A21" s="13" t="n"/>
      <c r="B21" s="13" t="n"/>
      <c r="C21" s="13" t="n"/>
      <c r="D21" s="13" t="n"/>
      <c r="E21" s="13" t="n"/>
      <c r="F21" s="13" t="n"/>
      <c r="G21" s="13" t="n"/>
      <c r="H21" s="13" t="n"/>
      <c r="I21" s="13" t="n"/>
      <c r="J21" s="13" t="n"/>
      <c r="K21" s="29">
        <f>IF(I21="","",IF(COUNTIF($A$5:$A$69,I21)=0,"FEHLT","ok"))</f>
        <v/>
      </c>
    </row>
    <row r="22">
      <c r="A22" s="13" t="n"/>
      <c r="B22" s="13" t="n"/>
      <c r="C22" s="13" t="n"/>
      <c r="D22" s="13" t="n"/>
      <c r="E22" s="13" t="n"/>
      <c r="F22" s="13" t="n"/>
      <c r="G22" s="13" t="n"/>
      <c r="H22" s="13" t="n"/>
      <c r="I22" s="13" t="n"/>
      <c r="J22" s="13" t="n"/>
      <c r="K22" s="29">
        <f>IF(I22="","",IF(COUNTIF($A$5:$A$69,I22)=0,"FEHLT","ok"))</f>
        <v/>
      </c>
    </row>
    <row r="23">
      <c r="A23" s="13" t="n"/>
      <c r="B23" s="13" t="n"/>
      <c r="C23" s="13" t="n"/>
      <c r="D23" s="13" t="n"/>
      <c r="E23" s="13" t="n"/>
      <c r="F23" s="13" t="n"/>
      <c r="G23" s="13" t="n"/>
      <c r="H23" s="13" t="n"/>
      <c r="I23" s="13" t="n"/>
      <c r="J23" s="13" t="n"/>
      <c r="K23" s="29">
        <f>IF(I23="","",IF(COUNTIF($A$5:$A$69,I23)=0,"FEHLT","ok"))</f>
        <v/>
      </c>
    </row>
    <row r="24">
      <c r="A24" s="13" t="n"/>
      <c r="B24" s="13" t="n"/>
      <c r="C24" s="13" t="n"/>
      <c r="D24" s="13" t="n"/>
      <c r="E24" s="13" t="n"/>
      <c r="F24" s="13" t="n"/>
      <c r="G24" s="13" t="n"/>
      <c r="H24" s="13" t="n"/>
      <c r="I24" s="13" t="n"/>
      <c r="J24" s="13" t="n"/>
      <c r="K24" s="29">
        <f>IF(I24="","",IF(COUNTIF($A$5:$A$69,I24)=0,"FEHLT","ok"))</f>
        <v/>
      </c>
    </row>
    <row r="25">
      <c r="A25" s="13" t="n"/>
      <c r="B25" s="13" t="n"/>
      <c r="C25" s="13" t="n"/>
      <c r="D25" s="13" t="n"/>
      <c r="E25" s="13" t="n"/>
      <c r="F25" s="13" t="n"/>
      <c r="G25" s="13" t="n"/>
      <c r="H25" s="13" t="n"/>
      <c r="I25" s="13" t="n"/>
      <c r="J25" s="13" t="n"/>
      <c r="K25" s="29">
        <f>IF(I25="","",IF(COUNTIF($A$5:$A$69,I25)=0,"FEHLT","ok"))</f>
        <v/>
      </c>
    </row>
    <row r="26">
      <c r="A26" s="13" t="n"/>
      <c r="B26" s="13" t="n"/>
      <c r="C26" s="13" t="n"/>
      <c r="D26" s="13" t="n"/>
      <c r="E26" s="13" t="n"/>
      <c r="F26" s="13" t="n"/>
      <c r="G26" s="13" t="n"/>
      <c r="H26" s="13" t="n"/>
      <c r="I26" s="13" t="n"/>
      <c r="J26" s="13" t="n"/>
      <c r="K26" s="29">
        <f>IF(I26="","",IF(COUNTIF($A$5:$A$69,I26)=0,"FEHLT","ok"))</f>
        <v/>
      </c>
    </row>
    <row r="27">
      <c r="A27" s="13" t="n"/>
      <c r="B27" s="13" t="n"/>
      <c r="C27" s="13" t="n"/>
      <c r="D27" s="13" t="n"/>
      <c r="E27" s="13" t="n"/>
      <c r="F27" s="13" t="n"/>
      <c r="G27" s="13" t="n"/>
      <c r="H27" s="13" t="n"/>
      <c r="I27" s="13" t="n"/>
      <c r="J27" s="13" t="n"/>
      <c r="K27" s="29">
        <f>IF(I27="","",IF(COUNTIF($A$5:$A$69,I27)=0,"FEHLT","ok"))</f>
        <v/>
      </c>
    </row>
    <row r="28">
      <c r="A28" s="13" t="n"/>
      <c r="B28" s="13" t="n"/>
      <c r="C28" s="13" t="n"/>
      <c r="D28" s="13" t="n"/>
      <c r="E28" s="13" t="n"/>
      <c r="F28" s="13" t="n"/>
      <c r="G28" s="13" t="n"/>
      <c r="H28" s="13" t="n"/>
      <c r="I28" s="13" t="n"/>
      <c r="J28" s="13" t="n"/>
      <c r="K28" s="29">
        <f>IF(I28="","",IF(COUNTIF($A$5:$A$69,I28)=0,"FEHLT","ok"))</f>
        <v/>
      </c>
    </row>
    <row r="29">
      <c r="A29" s="13" t="n"/>
      <c r="B29" s="13" t="n"/>
      <c r="C29" s="13" t="n"/>
      <c r="D29" s="13" t="n"/>
      <c r="E29" s="13" t="n"/>
      <c r="F29" s="13" t="n"/>
      <c r="G29" s="13" t="n"/>
      <c r="H29" s="13" t="n"/>
      <c r="I29" s="13" t="n"/>
      <c r="J29" s="13" t="n"/>
      <c r="K29" s="29">
        <f>IF(I29="","",IF(COUNTIF($A$5:$A$69,I29)=0,"FEHLT","ok"))</f>
        <v/>
      </c>
    </row>
    <row r="30">
      <c r="A30" s="13" t="n"/>
      <c r="B30" s="13" t="n"/>
      <c r="C30" s="13" t="n"/>
      <c r="D30" s="13" t="n"/>
      <c r="E30" s="13" t="n"/>
      <c r="F30" s="13" t="n"/>
      <c r="G30" s="13" t="n"/>
      <c r="H30" s="13" t="n"/>
      <c r="I30" s="13" t="n"/>
      <c r="J30" s="13" t="n"/>
      <c r="K30" s="29">
        <f>IF(I30="","",IF(COUNTIF($A$5:$A$69,I30)=0,"FEHLT","ok"))</f>
        <v/>
      </c>
    </row>
    <row r="31">
      <c r="A31" s="13" t="n"/>
      <c r="B31" s="13" t="n"/>
      <c r="C31" s="13" t="n"/>
      <c r="D31" s="13" t="n"/>
      <c r="E31" s="13" t="n"/>
      <c r="F31" s="13" t="n"/>
      <c r="G31" s="13" t="n"/>
      <c r="H31" s="13" t="n"/>
      <c r="I31" s="13" t="n"/>
      <c r="J31" s="13" t="n"/>
      <c r="K31" s="29">
        <f>IF(I31="","",IF(COUNTIF($A$5:$A$69,I31)=0,"FEHLT","ok"))</f>
        <v/>
      </c>
    </row>
    <row r="32">
      <c r="A32" s="13" t="n"/>
      <c r="B32" s="13" t="n"/>
      <c r="C32" s="13" t="n"/>
      <c r="D32" s="13" t="n"/>
      <c r="E32" s="13" t="n"/>
      <c r="F32" s="13" t="n"/>
      <c r="G32" s="13" t="n"/>
      <c r="H32" s="13" t="n"/>
      <c r="I32" s="13" t="n"/>
      <c r="J32" s="13" t="n"/>
      <c r="K32" s="29">
        <f>IF(I32="","",IF(COUNTIF($A$5:$A$69,I32)=0,"FEHLT","ok"))</f>
        <v/>
      </c>
    </row>
    <row r="33">
      <c r="A33" s="13" t="n"/>
      <c r="B33" s="13" t="n"/>
      <c r="C33" s="13" t="n"/>
      <c r="D33" s="13" t="n"/>
      <c r="E33" s="13" t="n"/>
      <c r="F33" s="13" t="n"/>
      <c r="G33" s="13" t="n"/>
      <c r="H33" s="13" t="n"/>
      <c r="I33" s="13" t="n"/>
      <c r="J33" s="13" t="n"/>
      <c r="K33" s="29">
        <f>IF(I33="","",IF(COUNTIF($A$5:$A$69,I33)=0,"FEHLT","ok"))</f>
        <v/>
      </c>
    </row>
    <row r="34">
      <c r="A34" s="13" t="n"/>
      <c r="B34" s="13" t="n"/>
      <c r="C34" s="13" t="n"/>
      <c r="D34" s="13" t="n"/>
      <c r="E34" s="13" t="n"/>
      <c r="F34" s="13" t="n"/>
      <c r="G34" s="13" t="n"/>
      <c r="H34" s="13" t="n"/>
      <c r="I34" s="13" t="n"/>
      <c r="J34" s="13" t="n"/>
      <c r="K34" s="29">
        <f>IF(I34="","",IF(COUNTIF($A$5:$A$69,I34)=0,"FEHLT","ok"))</f>
        <v/>
      </c>
    </row>
    <row r="35">
      <c r="A35" s="13" t="n"/>
      <c r="B35" s="13" t="n"/>
      <c r="C35" s="13" t="n"/>
      <c r="D35" s="13" t="n"/>
      <c r="E35" s="13" t="n"/>
      <c r="F35" s="13" t="n"/>
      <c r="G35" s="13" t="n"/>
      <c r="H35" s="13" t="n"/>
      <c r="I35" s="13" t="n"/>
      <c r="J35" s="13" t="n"/>
      <c r="K35" s="29">
        <f>IF(I35="","",IF(COUNTIF($A$5:$A$69,I35)=0,"FEHLT","ok"))</f>
        <v/>
      </c>
    </row>
    <row r="36">
      <c r="A36" s="13" t="n"/>
      <c r="B36" s="13" t="n"/>
      <c r="C36" s="13" t="n"/>
      <c r="D36" s="13" t="n"/>
      <c r="E36" s="13" t="n"/>
      <c r="F36" s="13" t="n"/>
      <c r="G36" s="13" t="n"/>
      <c r="H36" s="13" t="n"/>
      <c r="I36" s="13" t="n"/>
      <c r="J36" s="13" t="n"/>
      <c r="K36" s="29">
        <f>IF(I36="","",IF(COUNTIF($A$5:$A$69,I36)=0,"FEHLT","ok"))</f>
        <v/>
      </c>
    </row>
    <row r="37">
      <c r="A37" s="13" t="n"/>
      <c r="B37" s="13" t="n"/>
      <c r="C37" s="13" t="n"/>
      <c r="D37" s="13" t="n"/>
      <c r="E37" s="13" t="n"/>
      <c r="F37" s="13" t="n"/>
      <c r="G37" s="13" t="n"/>
      <c r="H37" s="13" t="n"/>
      <c r="I37" s="13" t="n"/>
      <c r="J37" s="13" t="n"/>
      <c r="K37" s="29">
        <f>IF(I37="","",IF(COUNTIF($A$5:$A$69,I37)=0,"FEHLT","ok"))</f>
        <v/>
      </c>
    </row>
    <row r="38">
      <c r="A38" s="13" t="n"/>
      <c r="B38" s="13" t="n"/>
      <c r="C38" s="13" t="n"/>
      <c r="D38" s="13" t="n"/>
      <c r="E38" s="13" t="n"/>
      <c r="F38" s="13" t="n"/>
      <c r="G38" s="13" t="n"/>
      <c r="H38" s="13" t="n"/>
      <c r="I38" s="13" t="n"/>
      <c r="J38" s="13" t="n"/>
      <c r="K38" s="29">
        <f>IF(I38="","",IF(COUNTIF($A$5:$A$69,I38)=0,"FEHLT","ok"))</f>
        <v/>
      </c>
    </row>
    <row r="39">
      <c r="A39" s="13" t="n"/>
      <c r="B39" s="13" t="n"/>
      <c r="C39" s="13" t="n"/>
      <c r="D39" s="13" t="n"/>
      <c r="E39" s="13" t="n"/>
      <c r="F39" s="13" t="n"/>
      <c r="G39" s="13" t="n"/>
      <c r="H39" s="13" t="n"/>
      <c r="I39" s="13" t="n"/>
      <c r="J39" s="13" t="n"/>
      <c r="K39" s="29">
        <f>IF(I39="","",IF(COUNTIF($A$5:$A$69,I39)=0,"FEHLT","ok"))</f>
        <v/>
      </c>
    </row>
    <row r="40">
      <c r="A40" s="13" t="n"/>
      <c r="B40" s="13" t="n"/>
      <c r="C40" s="13" t="n"/>
      <c r="D40" s="13" t="n"/>
      <c r="E40" s="13" t="n"/>
      <c r="F40" s="13" t="n"/>
      <c r="G40" s="13" t="n"/>
      <c r="H40" s="13" t="n"/>
      <c r="I40" s="13" t="n"/>
      <c r="J40" s="13" t="n"/>
      <c r="K40" s="29">
        <f>IF(I40="","",IF(COUNTIF($A$5:$A$69,I40)=0,"FEHLT","ok"))</f>
        <v/>
      </c>
    </row>
    <row r="41">
      <c r="A41" s="13" t="n"/>
      <c r="B41" s="13" t="n"/>
      <c r="C41" s="13" t="n"/>
      <c r="D41" s="13" t="n"/>
      <c r="E41" s="13" t="n"/>
      <c r="F41" s="13" t="n"/>
      <c r="G41" s="13" t="n"/>
      <c r="H41" s="13" t="n"/>
      <c r="I41" s="13" t="n"/>
      <c r="J41" s="13" t="n"/>
      <c r="K41" s="29">
        <f>IF(I41="","",IF(COUNTIF($A$5:$A$69,I41)=0,"FEHLT","ok"))</f>
        <v/>
      </c>
    </row>
    <row r="42">
      <c r="A42" s="13" t="n"/>
      <c r="B42" s="13" t="n"/>
      <c r="C42" s="13" t="n"/>
      <c r="D42" s="13" t="n"/>
      <c r="E42" s="13" t="n"/>
      <c r="F42" s="13" t="n"/>
      <c r="G42" s="13" t="n"/>
      <c r="H42" s="13" t="n"/>
      <c r="I42" s="13" t="n"/>
      <c r="J42" s="13" t="n"/>
      <c r="K42" s="29">
        <f>IF(I42="","",IF(COUNTIF($A$5:$A$69,I42)=0,"FEHLT","ok"))</f>
        <v/>
      </c>
    </row>
    <row r="43">
      <c r="A43" s="13" t="n"/>
      <c r="B43" s="13" t="n"/>
      <c r="C43" s="13" t="n"/>
      <c r="D43" s="13" t="n"/>
      <c r="E43" s="13" t="n"/>
      <c r="F43" s="13" t="n"/>
      <c r="G43" s="13" t="n"/>
      <c r="H43" s="13" t="n"/>
      <c r="I43" s="13" t="n"/>
      <c r="J43" s="13" t="n"/>
      <c r="K43" s="29">
        <f>IF(I43="","",IF(COUNTIF($A$5:$A$69,I43)=0,"FEHLT","ok"))</f>
        <v/>
      </c>
    </row>
    <row r="44">
      <c r="A44" s="13" t="n"/>
      <c r="B44" s="13" t="n"/>
      <c r="C44" s="13" t="n"/>
      <c r="D44" s="13" t="n"/>
      <c r="E44" s="13" t="n"/>
      <c r="F44" s="13" t="n"/>
      <c r="G44" s="13" t="n"/>
      <c r="H44" s="13" t="n"/>
      <c r="I44" s="13" t="n"/>
      <c r="J44" s="13" t="n"/>
      <c r="K44" s="29">
        <f>IF(I44="","",IF(COUNTIF($A$5:$A$69,I44)=0,"FEHLT","ok"))</f>
        <v/>
      </c>
    </row>
    <row r="45">
      <c r="A45" s="13" t="n"/>
      <c r="B45" s="13" t="n"/>
      <c r="C45" s="13" t="n"/>
      <c r="D45" s="13" t="n"/>
      <c r="E45" s="13" t="n"/>
      <c r="F45" s="13" t="n"/>
      <c r="G45" s="13" t="n"/>
      <c r="H45" s="13" t="n"/>
      <c r="I45" s="13" t="n"/>
      <c r="J45" s="13" t="n"/>
      <c r="K45" s="29">
        <f>IF(I45="","",IF(COUNTIF($A$5:$A$69,I45)=0,"FEHLT","ok"))</f>
        <v/>
      </c>
    </row>
    <row r="46">
      <c r="A46" s="13" t="n"/>
      <c r="B46" s="13" t="n"/>
      <c r="C46" s="13" t="n"/>
      <c r="D46" s="13" t="n"/>
      <c r="E46" s="13" t="n"/>
      <c r="F46" s="13" t="n"/>
      <c r="G46" s="13" t="n"/>
      <c r="H46" s="13" t="n"/>
      <c r="I46" s="13" t="n"/>
      <c r="J46" s="13" t="n"/>
      <c r="K46" s="29">
        <f>IF(I46="","",IF(COUNTIF($A$5:$A$69,I46)=0,"FEHLT","ok"))</f>
        <v/>
      </c>
    </row>
    <row r="47">
      <c r="A47" s="13" t="n"/>
      <c r="B47" s="13" t="n"/>
      <c r="C47" s="13" t="n"/>
      <c r="D47" s="13" t="n"/>
      <c r="E47" s="13" t="n"/>
      <c r="F47" s="13" t="n"/>
      <c r="G47" s="13" t="n"/>
      <c r="H47" s="13" t="n"/>
      <c r="I47" s="13" t="n"/>
      <c r="J47" s="13" t="n"/>
      <c r="K47" s="29">
        <f>IF(I47="","",IF(COUNTIF($A$5:$A$69,I47)=0,"FEHLT","ok"))</f>
        <v/>
      </c>
    </row>
    <row r="48">
      <c r="A48" s="13" t="n"/>
      <c r="B48" s="13" t="n"/>
      <c r="C48" s="13" t="n"/>
      <c r="D48" s="13" t="n"/>
      <c r="E48" s="13" t="n"/>
      <c r="F48" s="13" t="n"/>
      <c r="G48" s="13" t="n"/>
      <c r="H48" s="13" t="n"/>
      <c r="I48" s="13" t="n"/>
      <c r="J48" s="13" t="n"/>
      <c r="K48" s="29">
        <f>IF(I48="","",IF(COUNTIF($A$5:$A$69,I48)=0,"FEHLT","ok"))</f>
        <v/>
      </c>
    </row>
    <row r="49">
      <c r="A49" s="13" t="n"/>
      <c r="B49" s="13" t="n"/>
      <c r="C49" s="13" t="n"/>
      <c r="D49" s="13" t="n"/>
      <c r="E49" s="13" t="n"/>
      <c r="F49" s="13" t="n"/>
      <c r="G49" s="13" t="n"/>
      <c r="H49" s="13" t="n"/>
      <c r="I49" s="13" t="n"/>
      <c r="J49" s="13" t="n"/>
      <c r="K49" s="29">
        <f>IF(I49="","",IF(COUNTIF($A$5:$A$69,I49)=0,"FEHLT","ok"))</f>
        <v/>
      </c>
    </row>
    <row r="50">
      <c r="A50" s="13" t="n"/>
      <c r="B50" s="13" t="n"/>
      <c r="C50" s="13" t="n"/>
      <c r="D50" s="13" t="n"/>
      <c r="E50" s="13" t="n"/>
      <c r="F50" s="13" t="n"/>
      <c r="G50" s="13" t="n"/>
      <c r="H50" s="13" t="n"/>
      <c r="I50" s="13" t="n"/>
      <c r="J50" s="13" t="n"/>
      <c r="K50" s="29">
        <f>IF(I50="","",IF(COUNTIF($A$5:$A$69,I50)=0,"FEHLT","ok"))</f>
        <v/>
      </c>
    </row>
    <row r="51">
      <c r="A51" s="13" t="n"/>
      <c r="B51" s="13" t="n"/>
      <c r="C51" s="13" t="n"/>
      <c r="D51" s="13" t="n"/>
      <c r="E51" s="13" t="n"/>
      <c r="F51" s="13" t="n"/>
      <c r="G51" s="13" t="n"/>
      <c r="H51" s="13" t="n"/>
      <c r="I51" s="13" t="n"/>
      <c r="J51" s="13" t="n"/>
      <c r="K51" s="29">
        <f>IF(I51="","",IF(COUNTIF($A$5:$A$69,I51)=0,"FEHLT","ok"))</f>
        <v/>
      </c>
    </row>
    <row r="52">
      <c r="A52" s="13" t="n"/>
      <c r="B52" s="13" t="n"/>
      <c r="C52" s="13" t="n"/>
      <c r="D52" s="13" t="n"/>
      <c r="E52" s="13" t="n"/>
      <c r="F52" s="13" t="n"/>
      <c r="G52" s="13" t="n"/>
      <c r="H52" s="13" t="n"/>
      <c r="I52" s="13" t="n"/>
      <c r="J52" s="13" t="n"/>
      <c r="K52" s="29">
        <f>IF(I52="","",IF(COUNTIF($A$5:$A$69,I52)=0,"FEHLT","ok"))</f>
        <v/>
      </c>
    </row>
    <row r="53">
      <c r="A53" s="13" t="n"/>
      <c r="B53" s="13" t="n"/>
      <c r="C53" s="13" t="n"/>
      <c r="D53" s="13" t="n"/>
      <c r="E53" s="13" t="n"/>
      <c r="F53" s="13" t="n"/>
      <c r="G53" s="13" t="n"/>
      <c r="H53" s="13" t="n"/>
      <c r="I53" s="13" t="n"/>
      <c r="J53" s="13" t="n"/>
      <c r="K53" s="29">
        <f>IF(I53="","",IF(COUNTIF($A$5:$A$69,I53)=0,"FEHLT","ok"))</f>
        <v/>
      </c>
    </row>
    <row r="54">
      <c r="A54" s="13" t="n"/>
      <c r="B54" s="13" t="n"/>
      <c r="C54" s="13" t="n"/>
      <c r="D54" s="13" t="n"/>
      <c r="E54" s="13" t="n"/>
      <c r="F54" s="13" t="n"/>
      <c r="G54" s="13" t="n"/>
      <c r="H54" s="13" t="n"/>
      <c r="I54" s="13" t="n"/>
      <c r="J54" s="13" t="n"/>
      <c r="K54" s="29">
        <f>IF(I54="","",IF(COUNTIF($A$5:$A$69,I54)=0,"FEHLT","ok"))</f>
        <v/>
      </c>
    </row>
    <row r="55">
      <c r="A55" s="13" t="n"/>
      <c r="B55" s="13" t="n"/>
      <c r="C55" s="13" t="n"/>
      <c r="D55" s="13" t="n"/>
      <c r="E55" s="13" t="n"/>
      <c r="F55" s="13" t="n"/>
      <c r="G55" s="13" t="n"/>
      <c r="H55" s="13" t="n"/>
      <c r="I55" s="13" t="n"/>
      <c r="J55" s="13" t="n"/>
      <c r="K55" s="29">
        <f>IF(I55="","",IF(COUNTIF($A$5:$A$69,I55)=0,"FEHLT","ok"))</f>
        <v/>
      </c>
    </row>
    <row r="56">
      <c r="A56" s="13" t="n"/>
      <c r="B56" s="13" t="n"/>
      <c r="C56" s="13" t="n"/>
      <c r="D56" s="13" t="n"/>
      <c r="E56" s="13" t="n"/>
      <c r="F56" s="13" t="n"/>
      <c r="G56" s="13" t="n"/>
      <c r="H56" s="13" t="n"/>
      <c r="I56" s="13" t="n"/>
      <c r="J56" s="13" t="n"/>
      <c r="K56" s="29">
        <f>IF(I56="","",IF(COUNTIF($A$5:$A$69,I56)=0,"FEHLT","ok"))</f>
        <v/>
      </c>
    </row>
    <row r="57">
      <c r="A57" s="13" t="n"/>
      <c r="B57" s="13" t="n"/>
      <c r="C57" s="13" t="n"/>
      <c r="D57" s="13" t="n"/>
      <c r="E57" s="13" t="n"/>
      <c r="F57" s="13" t="n"/>
      <c r="G57" s="13" t="n"/>
      <c r="H57" s="13" t="n"/>
      <c r="I57" s="13" t="n"/>
      <c r="J57" s="13" t="n"/>
      <c r="K57" s="29">
        <f>IF(I57="","",IF(COUNTIF($A$5:$A$69,I57)=0,"FEHLT","ok"))</f>
        <v/>
      </c>
    </row>
    <row r="58">
      <c r="A58" s="13" t="n"/>
      <c r="B58" s="13" t="n"/>
      <c r="C58" s="13" t="n"/>
      <c r="D58" s="13" t="n"/>
      <c r="E58" s="13" t="n"/>
      <c r="F58" s="13" t="n"/>
      <c r="G58" s="13" t="n"/>
      <c r="H58" s="13" t="n"/>
      <c r="I58" s="13" t="n"/>
      <c r="J58" s="13" t="n"/>
      <c r="K58" s="29">
        <f>IF(I58="","",IF(COUNTIF($A$5:$A$69,I58)=0,"FEHLT","ok"))</f>
        <v/>
      </c>
    </row>
    <row r="59">
      <c r="A59" s="13" t="n"/>
      <c r="B59" s="13" t="n"/>
      <c r="C59" s="13" t="n"/>
      <c r="D59" s="13" t="n"/>
      <c r="E59" s="13" t="n"/>
      <c r="F59" s="13" t="n"/>
      <c r="G59" s="13" t="n"/>
      <c r="H59" s="13" t="n"/>
      <c r="I59" s="13" t="n"/>
      <c r="J59" s="13" t="n"/>
      <c r="K59" s="29">
        <f>IF(I59="","",IF(COUNTIF($A$5:$A$69,I59)=0,"FEHLT","ok"))</f>
        <v/>
      </c>
    </row>
    <row r="60">
      <c r="A60" s="13" t="n"/>
      <c r="B60" s="13" t="n"/>
      <c r="C60" s="13" t="n"/>
      <c r="D60" s="13" t="n"/>
      <c r="E60" s="13" t="n"/>
      <c r="F60" s="13" t="n"/>
      <c r="G60" s="13" t="n"/>
      <c r="H60" s="13" t="n"/>
      <c r="I60" s="13" t="n"/>
      <c r="J60" s="13" t="n"/>
      <c r="K60" s="29">
        <f>IF(I60="","",IF(COUNTIF($A$5:$A$69,I60)=0,"FEHLT","ok"))</f>
        <v/>
      </c>
    </row>
    <row r="61">
      <c r="A61" s="13" t="n"/>
      <c r="B61" s="13" t="n"/>
      <c r="C61" s="13" t="n"/>
      <c r="D61" s="13" t="n"/>
      <c r="E61" s="13" t="n"/>
      <c r="F61" s="13" t="n"/>
      <c r="G61" s="13" t="n"/>
      <c r="H61" s="13" t="n"/>
      <c r="I61" s="13" t="n"/>
      <c r="J61" s="13" t="n"/>
      <c r="K61" s="29">
        <f>IF(I61="","",IF(COUNTIF($A$5:$A$69,I61)=0,"FEHLT","ok"))</f>
        <v/>
      </c>
    </row>
    <row r="62">
      <c r="A62" s="13" t="n"/>
      <c r="B62" s="13" t="n"/>
      <c r="C62" s="13" t="n"/>
      <c r="D62" s="13" t="n"/>
      <c r="E62" s="13" t="n"/>
      <c r="F62" s="13" t="n"/>
      <c r="G62" s="13" t="n"/>
      <c r="H62" s="13" t="n"/>
      <c r="I62" s="13" t="n"/>
      <c r="J62" s="13" t="n"/>
      <c r="K62" s="29">
        <f>IF(I62="","",IF(COUNTIF($A$5:$A$69,I62)=0,"FEHLT","ok"))</f>
        <v/>
      </c>
    </row>
    <row r="63">
      <c r="A63" s="13" t="n"/>
      <c r="B63" s="13" t="n"/>
      <c r="C63" s="13" t="n"/>
      <c r="D63" s="13" t="n"/>
      <c r="E63" s="13" t="n"/>
      <c r="F63" s="13" t="n"/>
      <c r="G63" s="13" t="n"/>
      <c r="H63" s="13" t="n"/>
      <c r="I63" s="13" t="n"/>
      <c r="J63" s="13" t="n"/>
      <c r="K63" s="29">
        <f>IF(I63="","",IF(COUNTIF($A$5:$A$69,I63)=0,"FEHLT","ok"))</f>
        <v/>
      </c>
    </row>
    <row r="64">
      <c r="A64" s="13" t="n"/>
      <c r="B64" s="13" t="n"/>
      <c r="C64" s="13" t="n"/>
      <c r="D64" s="13" t="n"/>
      <c r="E64" s="13" t="n"/>
      <c r="F64" s="13" t="n"/>
      <c r="G64" s="13" t="n"/>
      <c r="H64" s="13" t="n"/>
      <c r="I64" s="13" t="n"/>
      <c r="J64" s="13" t="n"/>
      <c r="K64" s="29">
        <f>IF(I64="","",IF(COUNTIF($A$5:$A$69,I64)=0,"FEHLT","ok"))</f>
        <v/>
      </c>
    </row>
    <row r="65">
      <c r="A65" s="13" t="n"/>
      <c r="B65" s="13" t="n"/>
      <c r="C65" s="13" t="n"/>
      <c r="D65" s="13" t="n"/>
      <c r="E65" s="13" t="n"/>
      <c r="F65" s="13" t="n"/>
      <c r="G65" s="13" t="n"/>
      <c r="H65" s="13" t="n"/>
      <c r="I65" s="13" t="n"/>
      <c r="J65" s="13" t="n"/>
      <c r="K65" s="29">
        <f>IF(I65="","",IF(COUNTIF($A$5:$A$69,I65)=0,"FEHLT","ok"))</f>
        <v/>
      </c>
    </row>
    <row r="66">
      <c r="A66" s="13" t="n"/>
      <c r="B66" s="13" t="n"/>
      <c r="C66" s="13" t="n"/>
      <c r="D66" s="13" t="n"/>
      <c r="E66" s="13" t="n"/>
      <c r="F66" s="13" t="n"/>
      <c r="G66" s="13" t="n"/>
      <c r="H66" s="13" t="n"/>
      <c r="I66" s="13" t="n"/>
      <c r="J66" s="13" t="n"/>
      <c r="K66" s="29">
        <f>IF(I66="","",IF(COUNTIF($A$5:$A$69,I66)=0,"FEHLT","ok"))</f>
        <v/>
      </c>
    </row>
    <row r="67">
      <c r="A67" s="13" t="n"/>
      <c r="B67" s="13" t="n"/>
      <c r="C67" s="13" t="n"/>
      <c r="D67" s="13" t="n"/>
      <c r="E67" s="13" t="n"/>
      <c r="F67" s="13" t="n"/>
      <c r="G67" s="13" t="n"/>
      <c r="H67" s="13" t="n"/>
      <c r="I67" s="13" t="n"/>
      <c r="J67" s="13" t="n"/>
      <c r="K67" s="29">
        <f>IF(I67="","",IF(COUNTIF($A$5:$A$69,I67)=0,"FEHLT","ok"))</f>
        <v/>
      </c>
    </row>
    <row r="68">
      <c r="A68" s="13" t="n"/>
      <c r="B68" s="13" t="n"/>
      <c r="C68" s="13" t="n"/>
      <c r="D68" s="13" t="n"/>
      <c r="E68" s="13" t="n"/>
      <c r="F68" s="13" t="n"/>
      <c r="G68" s="13" t="n"/>
      <c r="H68" s="13" t="n"/>
      <c r="I68" s="13" t="n"/>
      <c r="J68" s="13" t="n"/>
      <c r="K68" s="29">
        <f>IF(I68="","",IF(COUNTIF($A$5:$A$69,I68)=0,"FEHLT","ok"))</f>
        <v/>
      </c>
    </row>
    <row r="69">
      <c r="A69" s="13" t="n"/>
      <c r="B69" s="13" t="n"/>
      <c r="C69" s="13" t="n"/>
      <c r="D69" s="13" t="n"/>
      <c r="E69" s="13" t="n"/>
      <c r="F69" s="13" t="n"/>
      <c r="G69" s="13" t="n"/>
      <c r="H69" s="13" t="n"/>
      <c r="I69" s="13" t="n"/>
      <c r="J69" s="13" t="n"/>
      <c r="K69" s="29">
        <f>IF(I69="","",IF(COUNTIF($A$5:$A$69,I69)=0,"FEHLT","ok"))</f>
        <v/>
      </c>
    </row>
  </sheetData>
  <mergeCells count="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9"/>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22" customWidth="1" min="3" max="3"/>
    <col width="34" customWidth="1" min="4" max="4"/>
    <col width="56" customWidth="1" min="5" max="5"/>
  </cols>
  <sheetData>
    <row r="1">
      <c r="A1" s="1" t="inlineStr">
        <is>
          <t>Beitragsgrenzen, anfragepflichtige und nicht versicherbare Fälle</t>
        </is>
      </c>
    </row>
    <row r="2">
      <c r="A2" s="2" t="inlineStr">
        <is>
          <t>ANFRAGE bedeutet: kein automatisches Ergebnis. Der Fall geht in die manuelle Bearbeitung — er wird nicht geschätzt.</t>
        </is>
      </c>
    </row>
    <row r="4" ht="30" customHeight="1">
      <c r="A4" s="9" t="inlineStr">
        <is>
          <t>regelart</t>
        </is>
      </c>
      <c r="B4" s="9" t="inlineStr">
        <is>
          <t>sparte</t>
        </is>
      </c>
      <c r="C4" s="9" t="inlineStr">
        <is>
          <t>merkmal</t>
        </is>
      </c>
      <c r="D4" s="9" t="inlineStr">
        <is>
          <t>wert</t>
        </is>
      </c>
      <c r="E4" s="9" t="inlineStr">
        <is>
          <t>bemerkung</t>
        </is>
      </c>
    </row>
    <row r="5" ht="28" customHeight="1">
      <c r="A5" s="18" t="inlineStr">
        <is>
          <t>MINDESTBEITRAG</t>
        </is>
      </c>
      <c r="B5" s="18" t="inlineStr">
        <is>
          <t>KASKO</t>
        </is>
      </c>
      <c r="C5" s="18" t="inlineStr">
        <is>
          <t>betrag</t>
        </is>
      </c>
      <c r="D5" s="18" t="n">
        <v>150</v>
      </c>
      <c r="E5" s="18" t="inlineStr">
        <is>
          <t>NAUTIMA: darf auch durch Nachlass und SFR nicht unterschritten werden</t>
        </is>
      </c>
    </row>
    <row r="6" ht="28" customHeight="1">
      <c r="A6" s="18" t="inlineStr">
        <is>
          <t>MINDESTBEITRAG</t>
        </is>
      </c>
      <c r="B6" s="18" t="inlineStr">
        <is>
          <t>HAFTPFLICHT</t>
        </is>
      </c>
      <c r="C6" s="18" t="inlineStr">
        <is>
          <t>betrag</t>
        </is>
      </c>
      <c r="D6" s="18" t="n">
        <v>35</v>
      </c>
      <c r="E6" s="18" t="inlineStr">
        <is>
          <t>NAUTIMA Mindestbeitrag Haftpflicht</t>
        </is>
      </c>
    </row>
    <row r="7" ht="28" customHeight="1">
      <c r="A7" s="18" t="inlineStr">
        <is>
          <t>MINDESTBEITRAG</t>
        </is>
      </c>
      <c r="B7" s="18" t="inlineStr">
        <is>
          <t>KASKO</t>
        </is>
      </c>
      <c r="C7" s="18" t="inlineStr">
        <is>
          <t>betrag</t>
        </is>
      </c>
      <c r="D7" s="18" t="n">
        <v>120</v>
      </c>
      <c r="E7" s="18" t="inlineStr">
        <is>
          <t>Draft 2026 AT, Segelyacht Komfort Binnen — je Bauart und Revier verschieden</t>
        </is>
      </c>
    </row>
    <row r="8" ht="28" customHeight="1">
      <c r="A8" s="18" t="inlineStr">
        <is>
          <t>ANFRAGE</t>
        </is>
      </c>
      <c r="B8" s="18" t="inlineStr">
        <is>
          <t>KASKO</t>
        </is>
      </c>
      <c r="C8" s="18" t="inlineStr">
        <is>
          <t>versicherungssumme_ueber</t>
        </is>
      </c>
      <c r="D8" s="18" t="n">
        <v>1000000</v>
      </c>
      <c r="E8" s="18" t="inlineStr">
        <is>
          <t>Draft 2026: Gesamtversicherungssumme über 1 Mio</t>
        </is>
      </c>
    </row>
    <row r="9" ht="28" customHeight="1">
      <c r="A9" s="18" t="inlineStr">
        <is>
          <t>ANFRAGE</t>
        </is>
      </c>
      <c r="B9" s="18" t="inlineStr">
        <is>
          <t>KASKO</t>
        </is>
      </c>
      <c r="C9" s="18" t="inlineStr">
        <is>
          <t>alter_jahre_ueber</t>
        </is>
      </c>
      <c r="D9" s="18" t="n">
        <v>15</v>
      </c>
      <c r="E9" s="18" t="inlineStr">
        <is>
          <t>Draft 2026: Fahrzeuge älter als 15 Jahre</t>
        </is>
      </c>
    </row>
    <row r="10" ht="28" customHeight="1">
      <c r="A10" s="18" t="inlineStr">
        <is>
          <t>ANFRAGE</t>
        </is>
      </c>
      <c r="B10" s="18" t="inlineStr">
        <is>
          <t>KASKO</t>
        </is>
      </c>
      <c r="C10" s="18" t="inlineStr">
        <is>
          <t>geschwindigkeit_kn_ueber</t>
        </is>
      </c>
      <c r="D10" s="18" t="n">
        <v>40</v>
      </c>
      <c r="E10" s="18" t="inlineStr">
        <is>
          <t>Schnellboote</t>
        </is>
      </c>
    </row>
    <row r="11" ht="28" customHeight="1">
      <c r="A11" s="18" t="inlineStr">
        <is>
          <t>ANFRAGE</t>
        </is>
      </c>
      <c r="B11" s="18" t="inlineStr">
        <is>
          <t>KASKO</t>
        </is>
      </c>
      <c r="C11" s="18" t="inlineStr">
        <is>
          <t>fahrzeugart_in</t>
        </is>
      </c>
      <c r="D11" s="18" t="inlineStr">
        <is>
          <t>JETSKI, ZILLE, KATAMARAN, TRIMARAN, SCHLAUCHBOOT_OHNE_FESTRUMPF</t>
        </is>
      </c>
      <c r="E11" s="18" t="n"/>
    </row>
    <row r="12" ht="28" customHeight="1">
      <c r="A12" s="18" t="inlineStr">
        <is>
          <t>ANFRAGE</t>
        </is>
      </c>
      <c r="B12" s="18" t="inlineStr">
        <is>
          <t>KASKO</t>
        </is>
      </c>
      <c r="C12" s="18" t="inlineStr">
        <is>
          <t>flaggenland_nicht_in</t>
        </is>
      </c>
      <c r="D12" s="18" t="inlineStr">
        <is>
          <t>AT, DE, SLO, HR</t>
        </is>
      </c>
      <c r="E12" s="18" t="n"/>
    </row>
    <row r="13" ht="28" customHeight="1">
      <c r="A13" s="18" t="inlineStr">
        <is>
          <t>NICHT_VERSICHERBAR</t>
        </is>
      </c>
      <c r="B13" s="18" t="inlineStr">
        <is>
          <t>KASKO</t>
        </is>
      </c>
      <c r="C13" s="18" t="inlineStr">
        <is>
          <t>fahrzeugart_in</t>
        </is>
      </c>
      <c r="D13" s="18" t="inlineStr">
        <is>
          <t>WINDSURFBRETT, RUDERBOOT, TRETBOOT, KAJAK, KANU, EIGENBAU</t>
        </is>
      </c>
      <c r="E13" s="18" t="inlineStr">
        <is>
          <t>Draft 2026</t>
        </is>
      </c>
    </row>
    <row r="14" ht="28" customHeight="1">
      <c r="A14" s="18" t="inlineStr">
        <is>
          <t>WERTELISTE</t>
        </is>
      </c>
      <c r="B14" s="18" t="inlineStr">
        <is>
          <t>KASKO</t>
        </is>
      </c>
      <c r="C14" s="18" t="inlineStr">
        <is>
          <t>premiumhersteller</t>
        </is>
      </c>
      <c r="D14" s="18" t="inlineStr">
        <is>
          <t>Comfortina, Dehler, Elan, Etap, Gib Sea, Hallberg Rassy, Moody, Najad, Nauticat, Nautor/Swan, Schöchl Sunbeam, Vindö, Waarship, Wauquiez, X-Yachts</t>
        </is>
      </c>
      <c r="E14" s="18" t="inlineStr">
        <is>
          <t>Grundlage für Faktor PREMIUMWERFT</t>
        </is>
      </c>
    </row>
    <row r="15" ht="28" customHeight="1">
      <c r="A15" s="18" t="inlineStr">
        <is>
          <t>WERTELISTE</t>
        </is>
      </c>
      <c r="B15" s="18" t="inlineStr">
        <is>
          <t>KASKO</t>
        </is>
      </c>
      <c r="C15" s="18" t="inlineStr">
        <is>
          <t>seen_nachlass</t>
        </is>
      </c>
      <c r="D15" s="18" t="inlineStr">
        <is>
          <t>Bodensee, Chiemsee, Starnberger See, Ammersee, Walchensee, Königssee, Tegernsee</t>
        </is>
      </c>
      <c r="E15" s="18" t="inlineStr">
        <is>
          <t>Grundlage für Faktor SEEN_NACHLASS</t>
        </is>
      </c>
    </row>
    <row r="18">
      <c r="A18" s="13" t="n"/>
      <c r="B18" s="13" t="n"/>
      <c r="C18" s="13" t="n"/>
      <c r="D18" s="13" t="n"/>
      <c r="E18" s="13" t="n"/>
    </row>
    <row r="19">
      <c r="A19" s="13" t="n"/>
      <c r="B19" s="13" t="n"/>
      <c r="C19" s="13" t="n"/>
      <c r="D19" s="13" t="n"/>
      <c r="E19" s="13" t="n"/>
    </row>
    <row r="20">
      <c r="A20" s="13" t="n"/>
      <c r="B20" s="13" t="n"/>
      <c r="C20" s="13" t="n"/>
      <c r="D20" s="13" t="n"/>
      <c r="E20" s="13" t="n"/>
    </row>
    <row r="21">
      <c r="A21" s="13" t="n"/>
      <c r="B21" s="13" t="n"/>
      <c r="C21" s="13" t="n"/>
      <c r="D21" s="13" t="n"/>
      <c r="E21" s="13" t="n"/>
    </row>
    <row r="22">
      <c r="A22" s="13" t="n"/>
      <c r="B22" s="13" t="n"/>
      <c r="C22" s="13" t="n"/>
      <c r="D22" s="13" t="n"/>
      <c r="E22" s="13" t="n"/>
    </row>
    <row r="23">
      <c r="A23" s="13" t="n"/>
      <c r="B23" s="13" t="n"/>
      <c r="C23" s="13" t="n"/>
      <c r="D23" s="13" t="n"/>
      <c r="E23" s="13" t="n"/>
    </row>
    <row r="24">
      <c r="A24" s="13" t="n"/>
      <c r="B24" s="13" t="n"/>
      <c r="C24" s="13" t="n"/>
      <c r="D24" s="13" t="n"/>
      <c r="E24" s="13" t="n"/>
    </row>
    <row r="25">
      <c r="A25" s="13" t="n"/>
      <c r="B25" s="13" t="n"/>
      <c r="C25" s="13" t="n"/>
      <c r="D25" s="13" t="n"/>
      <c r="E25" s="13" t="n"/>
    </row>
    <row r="26">
      <c r="A26" s="13" t="n"/>
      <c r="B26" s="13" t="n"/>
      <c r="C26" s="13" t="n"/>
      <c r="D26" s="13" t="n"/>
      <c r="E26" s="13" t="n"/>
    </row>
    <row r="27">
      <c r="A27" s="13" t="n"/>
      <c r="B27" s="13" t="n"/>
      <c r="C27" s="13" t="n"/>
      <c r="D27" s="13" t="n"/>
      <c r="E27" s="13" t="n"/>
    </row>
    <row r="28">
      <c r="A28" s="13" t="n"/>
      <c r="B28" s="13" t="n"/>
      <c r="C28" s="13" t="n"/>
      <c r="D28" s="13" t="n"/>
      <c r="E28" s="13" t="n"/>
    </row>
    <row r="29">
      <c r="A29" s="13" t="n"/>
      <c r="B29" s="13" t="n"/>
      <c r="C29" s="13" t="n"/>
      <c r="D29" s="13" t="n"/>
      <c r="E29" s="13" t="n"/>
    </row>
    <row r="30">
      <c r="A30" s="13" t="n"/>
      <c r="B30" s="13" t="n"/>
      <c r="C30" s="13" t="n"/>
      <c r="D30" s="13" t="n"/>
      <c r="E30" s="13" t="n"/>
    </row>
    <row r="31">
      <c r="A31" s="13" t="n"/>
      <c r="B31" s="13" t="n"/>
      <c r="C31" s="13" t="n"/>
      <c r="D31" s="13" t="n"/>
      <c r="E31" s="13" t="n"/>
    </row>
    <row r="32">
      <c r="A32" s="13" t="n"/>
      <c r="B32" s="13" t="n"/>
      <c r="C32" s="13" t="n"/>
      <c r="D32" s="13" t="n"/>
      <c r="E32" s="13" t="n"/>
    </row>
    <row r="33">
      <c r="A33" s="13" t="n"/>
      <c r="B33" s="13" t="n"/>
      <c r="C33" s="13" t="n"/>
      <c r="D33" s="13" t="n"/>
      <c r="E33" s="13" t="n"/>
    </row>
    <row r="34">
      <c r="A34" s="13" t="n"/>
      <c r="B34" s="13" t="n"/>
      <c r="C34" s="13" t="n"/>
      <c r="D34" s="13" t="n"/>
      <c r="E34" s="13" t="n"/>
    </row>
    <row r="35">
      <c r="A35" s="13" t="n"/>
      <c r="B35" s="13" t="n"/>
      <c r="C35" s="13" t="n"/>
      <c r="D35" s="13" t="n"/>
      <c r="E35" s="13" t="n"/>
    </row>
    <row r="36">
      <c r="A36" s="13" t="n"/>
      <c r="B36" s="13" t="n"/>
      <c r="C36" s="13" t="n"/>
      <c r="D36" s="13" t="n"/>
      <c r="E36" s="13" t="n"/>
    </row>
    <row r="37">
      <c r="A37" s="13" t="n"/>
      <c r="B37" s="13" t="n"/>
      <c r="C37" s="13" t="n"/>
      <c r="D37" s="13" t="n"/>
      <c r="E37" s="13" t="n"/>
    </row>
    <row r="38">
      <c r="A38" s="13" t="n"/>
      <c r="B38" s="13" t="n"/>
      <c r="C38" s="13" t="n"/>
      <c r="D38" s="13" t="n"/>
      <c r="E38" s="13" t="n"/>
    </row>
    <row r="39">
      <c r="A39" s="13" t="n"/>
      <c r="B39" s="13" t="n"/>
      <c r="C39" s="13" t="n"/>
      <c r="D39" s="13" t="n"/>
      <c r="E39" s="13" t="n"/>
    </row>
    <row r="40">
      <c r="A40" s="13" t="n"/>
      <c r="B40" s="13" t="n"/>
      <c r="C40" s="13" t="n"/>
      <c r="D40" s="13" t="n"/>
      <c r="E40" s="13" t="n"/>
    </row>
    <row r="41">
      <c r="A41" s="13" t="n"/>
      <c r="B41" s="13" t="n"/>
      <c r="C41" s="13" t="n"/>
      <c r="D41" s="13" t="n"/>
      <c r="E41" s="13" t="n"/>
    </row>
    <row r="42">
      <c r="A42" s="13" t="n"/>
      <c r="B42" s="13" t="n"/>
      <c r="C42" s="13" t="n"/>
      <c r="D42" s="13" t="n"/>
      <c r="E42" s="13" t="n"/>
    </row>
    <row r="43">
      <c r="A43" s="13" t="n"/>
      <c r="B43" s="13" t="n"/>
      <c r="C43" s="13" t="n"/>
      <c r="D43" s="13" t="n"/>
      <c r="E43" s="13" t="n"/>
    </row>
    <row r="44">
      <c r="A44" s="13" t="n"/>
      <c r="B44" s="13" t="n"/>
      <c r="C44" s="13" t="n"/>
      <c r="D44" s="13" t="n"/>
      <c r="E44" s="13" t="n"/>
    </row>
    <row r="45">
      <c r="A45" s="13" t="n"/>
      <c r="B45" s="13" t="n"/>
      <c r="C45" s="13" t="n"/>
      <c r="D45" s="13" t="n"/>
      <c r="E45" s="13" t="n"/>
    </row>
    <row r="46">
      <c r="A46" s="13" t="n"/>
      <c r="B46" s="13" t="n"/>
      <c r="C46" s="13" t="n"/>
      <c r="D46" s="13" t="n"/>
      <c r="E46" s="13" t="n"/>
    </row>
    <row r="47">
      <c r="A47" s="13" t="n"/>
      <c r="B47" s="13" t="n"/>
      <c r="C47" s="13" t="n"/>
      <c r="D47" s="13" t="n"/>
      <c r="E47" s="13" t="n"/>
    </row>
    <row r="48">
      <c r="A48" s="13" t="n"/>
      <c r="B48" s="13" t="n"/>
      <c r="C48" s="13" t="n"/>
      <c r="D48" s="13" t="n"/>
      <c r="E48" s="13" t="n"/>
    </row>
    <row r="49">
      <c r="A49" s="13" t="n"/>
      <c r="B49" s="13" t="n"/>
      <c r="C49" s="13" t="n"/>
      <c r="D49" s="13" t="n"/>
      <c r="E49" s="13" t="n"/>
    </row>
    <row r="50">
      <c r="A50" s="13" t="n"/>
      <c r="B50" s="13" t="n"/>
      <c r="C50" s="13" t="n"/>
      <c r="D50" s="13" t="n"/>
      <c r="E50" s="13" t="n"/>
    </row>
    <row r="51">
      <c r="A51" s="13" t="n"/>
      <c r="B51" s="13" t="n"/>
      <c r="C51" s="13" t="n"/>
      <c r="D51" s="13" t="n"/>
      <c r="E51" s="13" t="n"/>
    </row>
    <row r="52">
      <c r="A52" s="13" t="n"/>
      <c r="B52" s="13" t="n"/>
      <c r="C52" s="13" t="n"/>
      <c r="D52" s="13" t="n"/>
      <c r="E52" s="13" t="n"/>
    </row>
    <row r="53">
      <c r="A53" s="13" t="n"/>
      <c r="B53" s="13" t="n"/>
      <c r="C53" s="13" t="n"/>
      <c r="D53" s="13" t="n"/>
      <c r="E53" s="13" t="n"/>
    </row>
    <row r="54">
      <c r="A54" s="13" t="n"/>
      <c r="B54" s="13" t="n"/>
      <c r="C54" s="13" t="n"/>
      <c r="D54" s="13" t="n"/>
      <c r="E54" s="13" t="n"/>
    </row>
    <row r="55">
      <c r="A55" s="13" t="n"/>
      <c r="B55" s="13" t="n"/>
      <c r="C55" s="13" t="n"/>
      <c r="D55" s="13" t="n"/>
      <c r="E55" s="13" t="n"/>
    </row>
    <row r="56">
      <c r="A56" s="13" t="n"/>
      <c r="B56" s="13" t="n"/>
      <c r="C56" s="13" t="n"/>
      <c r="D56" s="13" t="n"/>
      <c r="E56" s="13" t="n"/>
    </row>
    <row r="57">
      <c r="A57" s="13" t="n"/>
      <c r="B57" s="13" t="n"/>
      <c r="C57" s="13" t="n"/>
      <c r="D57" s="13" t="n"/>
      <c r="E57" s="13" t="n"/>
    </row>
    <row r="58">
      <c r="A58" s="13" t="n"/>
      <c r="B58" s="13" t="n"/>
      <c r="C58" s="13" t="n"/>
      <c r="D58" s="13" t="n"/>
      <c r="E58" s="13" t="n"/>
    </row>
    <row r="59">
      <c r="A59" s="13" t="n"/>
      <c r="B59" s="13" t="n"/>
      <c r="C59" s="13" t="n"/>
      <c r="D59" s="13" t="n"/>
      <c r="E59" s="13" t="n"/>
    </row>
  </sheetData>
  <mergeCells count="1">
    <mergeCell ref="A2:E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0" customWidth="1" min="1" max="1"/>
    <col width="16" customWidth="1" min="2" max="2"/>
    <col width="10" customWidth="1" min="3" max="3"/>
    <col width="14" customWidth="1" min="4" max="4"/>
    <col width="56" customWidth="1" min="5" max="5"/>
  </cols>
  <sheetData>
    <row r="1">
      <c r="A1" s="1" t="inlineStr">
        <is>
          <t>Versicherungssteuer</t>
        </is>
      </c>
    </row>
    <row r="2">
      <c r="A2" s="2" t="inlineStr">
        <is>
          <t>Sätze durch die Steuerberatung bestätigen lassen (offener Punkt A-12). Der Satz aus dem Blatt „Charter Folgeschaden“ ließ sich zu 11 % zurückrechnen — als Beispiel eingetragen, nicht als Beleg.</t>
        </is>
      </c>
    </row>
    <row r="4" ht="30" customHeight="1">
      <c r="A4" s="9" t="inlineStr">
        <is>
          <t>land</t>
        </is>
      </c>
      <c r="B4" s="9" t="inlineStr">
        <is>
          <t>sparte</t>
        </is>
      </c>
      <c r="C4" s="9" t="inlineStr">
        <is>
          <t>satz</t>
        </is>
      </c>
      <c r="D4" s="9" t="inlineStr">
        <is>
          <t>gueltig_ab</t>
        </is>
      </c>
      <c r="E4" s="9" t="inlineStr">
        <is>
          <t>quelle</t>
        </is>
      </c>
    </row>
    <row r="5">
      <c r="A5" s="18" t="inlineStr">
        <is>
          <t>AT</t>
        </is>
      </c>
      <c r="B5" s="18" t="inlineStr">
        <is>
          <t>ZUSATZ</t>
        </is>
      </c>
      <c r="C5" s="19" t="n">
        <v>0.11</v>
      </c>
      <c r="D5" s="18" t="inlineStr">
        <is>
          <t>2026-01-01</t>
        </is>
      </c>
      <c r="E5" s="18" t="inlineStr">
        <is>
          <t>aus Charter_Folgeschaden zurückgerechnet — zu bestätigen</t>
        </is>
      </c>
    </row>
    <row r="6">
      <c r="A6" s="20" t="inlineStr">
        <is>
          <t>AT</t>
        </is>
      </c>
      <c r="B6" s="20" t="inlineStr">
        <is>
          <t>KASKO</t>
        </is>
      </c>
      <c r="C6" s="21" t="n"/>
      <c r="D6" s="20" t="n"/>
      <c r="E6" s="20" t="inlineStr">
        <is>
          <t>zu ermitteln</t>
        </is>
      </c>
    </row>
    <row r="7">
      <c r="A7" s="20" t="inlineStr">
        <is>
          <t>AT</t>
        </is>
      </c>
      <c r="B7" s="20" t="inlineStr">
        <is>
          <t>HAFTPFLICHT</t>
        </is>
      </c>
      <c r="C7" s="21" t="n"/>
      <c r="D7" s="20" t="n"/>
      <c r="E7" s="20" t="inlineStr">
        <is>
          <t>zu ermitteln</t>
        </is>
      </c>
    </row>
    <row r="8">
      <c r="A8" s="20" t="inlineStr">
        <is>
          <t>DE</t>
        </is>
      </c>
      <c r="B8" s="20" t="inlineStr">
        <is>
          <t>KASKO</t>
        </is>
      </c>
      <c r="C8" s="21" t="n"/>
      <c r="D8" s="20" t="n"/>
      <c r="E8" s="20" t="inlineStr">
        <is>
          <t>zu ermitteln</t>
        </is>
      </c>
    </row>
    <row r="9">
      <c r="A9" s="20" t="inlineStr">
        <is>
          <t>DE</t>
        </is>
      </c>
      <c r="B9" s="20" t="inlineStr">
        <is>
          <t>HAFTPFLICHT</t>
        </is>
      </c>
      <c r="C9" s="21" t="n"/>
      <c r="D9" s="20" t="n"/>
      <c r="E9" s="20" t="inlineStr">
        <is>
          <t>zu ermitteln</t>
        </is>
      </c>
    </row>
    <row r="12">
      <c r="A12" s="6" t="inlineStr">
        <is>
          <t>Nicht in dieses Blatt gehört die Provision.</t>
        </is>
      </c>
    </row>
    <row r="13">
      <c r="A13" s="22" t="inlineStr">
        <is>
          <t>Sie ist keine Eigenschaft des Tarifs, sondern der Vereinbarung mit dem Träger, und wird dort gepflegt. Im Blatt Charter_Folgeschaden sind Tarif und Provision vermischt — beim Übertragen bitte trennen.</t>
        </is>
      </c>
    </row>
    <row r="14"/>
  </sheetData>
  <mergeCells count="2">
    <mergeCell ref="A2:E2"/>
    <mergeCell ref="A13:E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56" customWidth="1" min="1" max="1"/>
    <col width="12" customWidth="1" min="2" max="2"/>
    <col width="12" customWidth="1" min="3" max="3"/>
    <col width="26" customWidth="1" min="4" max="4"/>
  </cols>
  <sheetData>
    <row r="1">
      <c r="A1" s="1" t="inlineStr">
        <is>
          <t>Prüfung</t>
        </is>
      </c>
    </row>
    <row r="2">
      <c r="A2" s="2" t="inlineStr">
        <is>
          <t>Rechnet selbst, sobald die Datei in Excel geöffnet wird. Nichts eintragen. Jede Zeile mit „PRÜFEN“ vor dem Import klären.</t>
        </is>
      </c>
    </row>
    <row r="4">
      <c r="A4" s="9" t="inlineStr">
        <is>
          <t>Prüfung</t>
        </is>
      </c>
      <c r="B4" s="9" t="inlineStr">
        <is>
          <t>Ergebnis</t>
        </is>
      </c>
      <c r="C4" s="9" t="inlineStr">
        <is>
          <t>Erwartet</t>
        </is>
      </c>
      <c r="D4" s="9" t="inlineStr">
        <is>
          <t>Befund</t>
        </is>
      </c>
    </row>
    <row r="5">
      <c r="A5" s="23" t="inlineStr">
        <is>
          <t>Zeilen im Grundtarif insgesamt</t>
        </is>
      </c>
      <c r="B5" s="24">
        <f>COUNTA('02_Grundtarif'!$A$5:$A$134)</f>
        <v/>
      </c>
      <c r="C5" s="25" t="inlineStr">
        <is>
          <t>—</t>
        </is>
      </c>
      <c r="D5" s="29" t="inlineStr">
        <is>
          <t>nur Information</t>
        </is>
      </c>
    </row>
    <row r="6">
      <c r="A6" s="23" t="inlineStr">
        <is>
          <t>davon status GILT</t>
        </is>
      </c>
      <c r="B6" s="24">
        <f>COUNTIF('02_Grundtarif'!$O$5:$O$134,"GILT")</f>
        <v/>
      </c>
      <c r="C6" s="25" t="inlineStr">
        <is>
          <t>—</t>
        </is>
      </c>
      <c r="D6" s="29" t="inlineStr">
        <is>
          <t>nur Information</t>
        </is>
      </c>
    </row>
    <row r="7">
      <c r="A7" s="23" t="inlineStr">
        <is>
          <t>davon status NICHT_ANGEBOTEN</t>
        </is>
      </c>
      <c r="B7" s="24">
        <f>COUNTIF('02_Grundtarif'!$O$5:$O$134,"NICHT_ANGEBOTEN")</f>
        <v/>
      </c>
      <c r="C7" s="25" t="inlineStr">
        <is>
          <t>—</t>
        </is>
      </c>
      <c r="D7" s="29" t="inlineStr">
        <is>
          <t>nur Information</t>
        </is>
      </c>
    </row>
    <row r="8">
      <c r="A8" s="23" t="inlineStr">
        <is>
          <t>davon status ANFRAGE</t>
        </is>
      </c>
      <c r="B8" s="24">
        <f>COUNTIF('02_Grundtarif'!$O$5:$O$134,"ANFRAGE")</f>
        <v/>
      </c>
      <c r="C8" s="25" t="inlineStr">
        <is>
          <t>—</t>
        </is>
      </c>
      <c r="D8" s="29" t="inlineStr">
        <is>
          <t>nur Information</t>
        </is>
      </c>
    </row>
    <row r="9">
      <c r="A9" s="23" t="inlineStr">
        <is>
          <t>Zeilen ohne status</t>
        </is>
      </c>
      <c r="B9" s="24">
        <f>COUNTIFS('02_Grundtarif'!$A$5:$A$134,"&lt;&gt;",'02_Grundtarif'!$O$5:$O$134,"")</f>
        <v/>
      </c>
      <c r="C9" s="27" t="n">
        <v>0</v>
      </c>
      <c r="D9" s="27">
        <f>IF(B9=C9,"in Ordnung","PRÜFEN — ")</f>
        <v/>
      </c>
    </row>
    <row r="10">
      <c r="A10" s="23" t="inlineStr">
        <is>
          <t>status GILT, aber kein Wert</t>
        </is>
      </c>
      <c r="B10" s="24">
        <f>COUNTIFS('02_Grundtarif'!$O$5:$O$134,"GILT",'02_Grundtarif'!$N$5:$N$134,"")</f>
        <v/>
      </c>
      <c r="C10" s="27" t="n">
        <v>0</v>
      </c>
      <c r="D10" s="27">
        <f>IF(B10=C10,"in Ordnung","PRÜFEN — ")</f>
        <v/>
      </c>
    </row>
    <row r="11">
      <c r="A11" s="23" t="inlineStr">
        <is>
          <t>status NICHT_ANGEBOTEN, aber Wert gesetzt</t>
        </is>
      </c>
      <c r="B11" s="24">
        <f>COUNTIFS('02_Grundtarif'!$O$5:$O$134,"NICHT_ANGEBOTEN",'02_Grundtarif'!$N$5:$N$134,"&lt;&gt;")</f>
        <v/>
      </c>
      <c r="C11" s="27" t="n">
        <v>0</v>
      </c>
      <c r="D11" s="27">
        <f>IF(B11=C11,"in Ordnung","PRÜFEN — ")</f>
        <v/>
      </c>
    </row>
    <row r="12">
      <c r="A12" s="23" t="inlineStr">
        <is>
          <t>doppelte Merkmalskombinationen</t>
        </is>
      </c>
      <c r="B12" s="24">
        <f>COUNTIF('02_Grundtarif'!$Q$5:$Q$134,"&gt;1")</f>
        <v/>
      </c>
      <c r="C12" s="27" t="n">
        <v>0</v>
      </c>
      <c r="D12" s="27">
        <f>IF(B12=C12,"in Ordnung","PRÜFEN — ")</f>
        <v/>
      </c>
    </row>
    <row r="13">
      <c r="A13" s="23" t="inlineStr">
        <is>
          <t>Kaskosatz unter 0,1 Prozent</t>
        </is>
      </c>
      <c r="B13" s="24">
        <f>COUNTIFS('02_Grundtarif'!$M$5:$M$134,"SATZ_VON_VS",'02_Grundtarif'!$N$5:$N$134,"&lt;0.001")</f>
        <v/>
      </c>
      <c r="C13" s="27" t="n">
        <v>0</v>
      </c>
      <c r="D13" s="27">
        <f>IF(B13=C13,"in Ordnung","PRÜFEN — prüfen: Prozent statt Faktor?")</f>
        <v/>
      </c>
    </row>
    <row r="14">
      <c r="A14" s="23" t="inlineStr">
        <is>
          <t>Kaskosatz über 3 Prozent</t>
        </is>
      </c>
      <c r="B14" s="24">
        <f>COUNTIFS('02_Grundtarif'!$M$5:$M$134,"SATZ_VON_VS",'02_Grundtarif'!$N$5:$N$134,"&gt;0.03")</f>
        <v/>
      </c>
      <c r="C14" s="27" t="n">
        <v>0</v>
      </c>
      <c r="D14" s="27">
        <f>IF(B14=C14,"in Ordnung","PRÜFEN — ")</f>
        <v/>
      </c>
    </row>
    <row r="15">
      <c r="A15" s="23" t="inlineStr">
        <is>
          <t>Festbetrag unter 10 Euro</t>
        </is>
      </c>
      <c r="B15" s="24">
        <f>COUNTIFS('02_Grundtarif'!$M$5:$M$134,"FESTBETRAG",'02_Grundtarif'!$N$5:$N$134,"&lt;10")</f>
        <v/>
      </c>
      <c r="C15" s="27" t="n">
        <v>0</v>
      </c>
      <c r="D15" s="27">
        <f>IF(B15=C15,"in Ordnung","PRÜFEN — prüfen: Prozent statt Faktor?")</f>
        <v/>
      </c>
    </row>
    <row r="16">
      <c r="A16" s="23" t="inlineStr">
        <is>
          <t>Faktoren insgesamt</t>
        </is>
      </c>
      <c r="B16" s="24">
        <f>COUNTA('03_Faktoren'!$A$5:$A$69)</f>
        <v/>
      </c>
      <c r="C16" s="25" t="inlineStr">
        <is>
          <t>—</t>
        </is>
      </c>
      <c r="D16" s="29" t="inlineStr">
        <is>
          <t>nur Information</t>
        </is>
      </c>
    </row>
    <row r="17">
      <c r="A17" s="23" t="inlineStr">
        <is>
          <t>Faktor über plus 100 Prozent</t>
        </is>
      </c>
      <c r="B17" s="24">
        <f>COUNTIFS('03_Faktoren'!$D$5:$D$69,"PROZENT",'03_Faktoren'!$E$5:$E$69,"&gt;1")</f>
        <v/>
      </c>
      <c r="C17" s="27" t="n">
        <v>0</v>
      </c>
      <c r="D17" s="27">
        <f>IF(B17=C17,"in Ordnung","PRÜFEN — ")</f>
        <v/>
      </c>
    </row>
    <row r="18">
      <c r="A18" s="23" t="inlineStr">
        <is>
          <t>Faktor unter minus 100 Prozent</t>
        </is>
      </c>
      <c r="B18" s="24">
        <f>COUNTIFS('03_Faktoren'!$D$5:$D$69,"PROZENT",'03_Faktoren'!$E$5:$E$69,"&lt;-1")</f>
        <v/>
      </c>
      <c r="C18" s="27" t="n">
        <v>0</v>
      </c>
      <c r="D18" s="27">
        <f>IF(B18=C18,"in Ordnung","PRÜFEN — prüfen: 10 statt 0,10?")</f>
        <v/>
      </c>
    </row>
    <row r="19">
      <c r="A19" s="23" t="inlineStr">
        <is>
          <t>Nachlass ohne negatives Vorzeichen</t>
        </is>
      </c>
      <c r="B19" s="24">
        <f>COUNTIFS('03_Faktoren'!$C$5:$C$69,"NACHLASS",'03_Faktoren'!$E$5:$E$69,"&gt;0")</f>
        <v/>
      </c>
      <c r="C19" s="27" t="n">
        <v>0</v>
      </c>
      <c r="D19" s="27">
        <f>IF(B19=C19,"in Ordnung","PRÜFEN — prüfen: 10 statt 0,10?")</f>
        <v/>
      </c>
    </row>
    <row r="20">
      <c r="A20" s="23" t="inlineStr">
        <is>
          <t>Schadenfreiheitsrabatt ohne negatives Vorzeichen</t>
        </is>
      </c>
      <c r="B20" s="24">
        <f>COUNTIFS('03_Faktoren'!$C$5:$C$69,"SFR",'03_Faktoren'!$E$5:$E$69,"&gt;0")</f>
        <v/>
      </c>
      <c r="C20" s="27" t="n">
        <v>0</v>
      </c>
      <c r="D20" s="27">
        <f>IF(B20=C20,"in Ordnung","PRÜFEN — ")</f>
        <v/>
      </c>
    </row>
    <row r="21">
      <c r="A21" s="23" t="inlineStr">
        <is>
          <t>Voraussetzungs-Code ohne passenden Faktor</t>
        </is>
      </c>
      <c r="B21" s="24">
        <f>COUNTIF('03_Faktoren'!$K$5:$K$69,"FEHLT")</f>
        <v/>
      </c>
      <c r="C21" s="27" t="n">
        <v>0</v>
      </c>
      <c r="D21" s="27">
        <f>IF(B21=C21,"in Ordnung","PRÜFEN — ")</f>
        <v/>
      </c>
    </row>
    <row r="23">
      <c r="A23" s="22" t="inlineStr">
        <is>
          <t>Die Prüfung auf Lücken zwischen den Versicherungssummen-Bändern läuft beim Import, nicht hier: sie braucht die vollständige Bandliste je Merkmalskombination und ist damit eine Prüfung über den ganzen Datensatz, nicht über eine einzelne Zeile.</t>
        </is>
      </c>
    </row>
    <row r="24"/>
    <row r="25"/>
  </sheetData>
  <mergeCells count="2">
    <mergeCell ref="A23:D25"/>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2026-08-22T04:46:32Z</dcterms:created>
  <dcterms:modified xsi:type="dcterms:W3CDTF">2026-08-22T05:01:35Z</dcterms:modified>
</cp:coreProperties>
</file>