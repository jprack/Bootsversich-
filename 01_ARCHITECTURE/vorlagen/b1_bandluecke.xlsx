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polation" sheetId="1" state="visible" r:id="rId1"/>
    <sheet name="Ohne_Ankerwe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8">
    <font>
      <name val="Calibri"/>
      <family val="2"/>
      <color theme="1"/>
      <sz val="11"/>
      <scheme val="minor"/>
    </font>
    <font>
      <name val="Arial"/>
      <b val="1"/>
      <color rgb="001C3B4B"/>
      <sz val="14"/>
    </font>
    <font>
      <name val="Arial"/>
      <color rgb="00444444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9"/>
    </font>
    <font>
      <name val="Arial"/>
      <sz val="10"/>
    </font>
    <font>
      <name val="Arial"/>
      <color rgb="001E7B34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C3B4B"/>
      </patternFill>
    </fill>
    <fill>
      <patternFill patternType="solid">
        <fgColor rgb="00F5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6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4" borderId="1" pivotButton="0" quotePrefix="0" xfId="0"/>
    <xf numFmtId="3" fontId="6" fillId="4" borderId="1" applyAlignment="1" pivotButton="0" quotePrefix="0" xfId="0">
      <alignment horizontal="center" vertical="center"/>
    </xf>
    <xf numFmtId="10" fontId="7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3" customWidth="1" min="7" max="7"/>
    <col width="11" customWidth="1" min="8" max="8"/>
    <col width="12" customWidth="1" min="9" max="9"/>
    <col width="11" customWidth="1" min="10" max="10"/>
  </cols>
  <sheetData>
    <row r="1">
      <c r="A1" s="1" t="inlineStr">
        <is>
          <t>Bandlücke 70.000 – 170.000: interpolierte Kaskosätze</t>
        </is>
      </c>
    </row>
    <row r="2">
      <c r="A2" s="2" t="inlineStr">
        <is>
          <t>Grundlage: Draft_Callidus_Tarif_2026.xlsx, Blätter „SY Kasko“ und „MY Kasko“. Die Sätze sind ein Rechenvorschlag, keine Tarifentscheidung — Freigabe durch die Produktverantwortung.</t>
        </is>
      </c>
    </row>
    <row r="4">
      <c r="B4" s="3" t="inlineStr">
        <is>
          <t>Bandmitte „&lt; 70.000“</t>
        </is>
      </c>
      <c r="C4" s="4" t="n">
        <v>35000</v>
      </c>
      <c r="D4" s="2" t="inlineStr">
        <is>
          <t>Annahme: Untergrenze des ersten Bandes ist 0. Die Wahl wirkt sich um weniger als 1 Basispunkt aus.</t>
        </is>
      </c>
    </row>
    <row r="5">
      <c r="B5" s="3" t="inlineStr">
        <is>
          <t>Bandmitte „170.000 – 300.000“</t>
        </is>
      </c>
      <c r="C5" s="4" t="n">
        <v>235000</v>
      </c>
      <c r="D5" s="2" t="inlineStr">
        <is>
          <t>Gelbe Zellen ändern — die Sätze rechnen neu.</t>
        </is>
      </c>
    </row>
    <row r="6">
      <c r="B6" s="3" t="inlineStr">
        <is>
          <t>Bandmitte neues Band</t>
        </is>
      </c>
      <c r="C6" s="4" t="n">
        <v>120000</v>
      </c>
    </row>
    <row r="8" ht="34" customHeight="1">
      <c r="A8" s="5" t="inlineStr">
        <is>
          <t>Blatt</t>
        </is>
      </c>
      <c r="B8" s="5" t="inlineStr">
        <is>
          <t>Revier</t>
        </is>
      </c>
      <c r="C8" s="5" t="inlineStr">
        <is>
          <t>Bauart</t>
        </is>
      </c>
      <c r="D8" s="5" t="inlineStr">
        <is>
          <t>Selbst-
behalt</t>
        </is>
      </c>
      <c r="E8" s="5" t="inlineStr">
        <is>
          <t>Satz
&lt; 70.000</t>
        </is>
      </c>
      <c r="F8" s="5" t="inlineStr">
        <is>
          <t>Satz
170.000–300.000</t>
        </is>
      </c>
      <c r="G8" s="5" t="inlineStr">
        <is>
          <t>NEU
geometrisch</t>
        </is>
      </c>
      <c r="H8" s="5" t="inlineStr">
        <is>
          <t>NEU
linear</t>
        </is>
      </c>
      <c r="I8" s="5" t="inlineStr">
        <is>
          <t>Prämie 120k
geometrisch</t>
        </is>
      </c>
      <c r="J8" s="5" t="inlineStr">
        <is>
          <t>Prämie 120k
linear</t>
        </is>
      </c>
    </row>
    <row r="9">
      <c r="A9" s="6" t="inlineStr">
        <is>
          <t>SY Kasko</t>
        </is>
      </c>
      <c r="B9" s="6" t="inlineStr">
        <is>
          <t>Binnen</t>
        </is>
      </c>
      <c r="C9" s="6" t="inlineStr">
        <is>
          <t>Komfort</t>
        </is>
      </c>
      <c r="D9" s="7" t="n">
        <v>500</v>
      </c>
      <c r="E9" s="8" t="n">
        <v>0.0065</v>
      </c>
      <c r="F9" s="8" t="n">
        <v>0.0043</v>
      </c>
      <c r="G9" s="9">
        <f>ROUND(E9*POWER($C$6/$C$4,LN(F9/E9)/LN($C$5/$C$4)),4)</f>
        <v/>
      </c>
      <c r="H9" s="9">
        <f>ROUND(E9+(F9-E9)*($C$6-$C$4)/($C$5-$C$4),4)</f>
        <v/>
      </c>
      <c r="I9" s="10">
        <f>ROUND($C$6*G9,0)</f>
        <v/>
      </c>
      <c r="J9" s="10">
        <f>ROUND($C$6*H9,0)</f>
        <v/>
      </c>
    </row>
    <row r="10">
      <c r="A10" s="11" t="inlineStr">
        <is>
          <t>SY Kasko</t>
        </is>
      </c>
      <c r="B10" s="11" t="inlineStr">
        <is>
          <t>Binnen</t>
        </is>
      </c>
      <c r="C10" s="11" t="inlineStr">
        <is>
          <t>Komfort</t>
        </is>
      </c>
      <c r="D10" s="12" t="n">
        <v>1000</v>
      </c>
      <c r="E10" s="13" t="n">
        <v>0.0055</v>
      </c>
      <c r="F10" s="13" t="n">
        <v>0.0038</v>
      </c>
      <c r="G10" s="14">
        <f>ROUND(E10*POWER($C$6/$C$4,LN(F10/E10)/LN($C$5/$C$4)),4)</f>
        <v/>
      </c>
      <c r="H10" s="14">
        <f>ROUND(E10+(F10-E10)*($C$6-$C$4)/($C$5-$C$4),4)</f>
        <v/>
      </c>
      <c r="I10" s="15">
        <f>ROUND($C$6*G10,0)</f>
        <v/>
      </c>
      <c r="J10" s="15">
        <f>ROUND($C$6*H10,0)</f>
        <v/>
      </c>
    </row>
    <row r="11">
      <c r="A11" s="6" t="inlineStr">
        <is>
          <t>SY Kasko</t>
        </is>
      </c>
      <c r="B11" s="6" t="inlineStr">
        <is>
          <t>Binnen</t>
        </is>
      </c>
      <c r="C11" s="6" t="inlineStr">
        <is>
          <t>Komfort</t>
        </is>
      </c>
      <c r="D11" s="7" t="n">
        <v>2500</v>
      </c>
      <c r="E11" s="8" t="n">
        <v>0.0052</v>
      </c>
      <c r="F11" s="8" t="n">
        <v>0.0034</v>
      </c>
      <c r="G11" s="9">
        <f>ROUND(E11*POWER($C$6/$C$4,LN(F11/E11)/LN($C$5/$C$4)),4)</f>
        <v/>
      </c>
      <c r="H11" s="9">
        <f>ROUND(E11+(F11-E11)*($C$6-$C$4)/($C$5-$C$4),4)</f>
        <v/>
      </c>
      <c r="I11" s="10">
        <f>ROUND($C$6*G11,0)</f>
        <v/>
      </c>
      <c r="J11" s="10">
        <f>ROUND($C$6*H11,0)</f>
        <v/>
      </c>
    </row>
    <row r="12">
      <c r="A12" s="11" t="inlineStr">
        <is>
          <t>SY Kasko</t>
        </is>
      </c>
      <c r="B12" s="11" t="inlineStr">
        <is>
          <t>Binnen</t>
        </is>
      </c>
      <c r="C12" s="11" t="inlineStr">
        <is>
          <t>Sport</t>
        </is>
      </c>
      <c r="D12" s="12" t="n">
        <v>500</v>
      </c>
      <c r="E12" s="13" t="n">
        <v>0.0066</v>
      </c>
      <c r="F12" s="13" t="n">
        <v>0.0055</v>
      </c>
      <c r="G12" s="14">
        <f>ROUND(E12*POWER($C$6/$C$4,LN(F12/E12)/LN($C$5/$C$4)),4)</f>
        <v/>
      </c>
      <c r="H12" s="14">
        <f>ROUND(E12+(F12-E12)*($C$6-$C$4)/($C$5-$C$4),4)</f>
        <v/>
      </c>
      <c r="I12" s="15">
        <f>ROUND($C$6*G12,0)</f>
        <v/>
      </c>
      <c r="J12" s="15">
        <f>ROUND($C$6*H12,0)</f>
        <v/>
      </c>
    </row>
    <row r="13">
      <c r="A13" s="6" t="inlineStr">
        <is>
          <t>SY Kasko</t>
        </is>
      </c>
      <c r="B13" s="6" t="inlineStr">
        <is>
          <t>Binnen</t>
        </is>
      </c>
      <c r="C13" s="6" t="inlineStr">
        <is>
          <t>Sport</t>
        </is>
      </c>
      <c r="D13" s="7" t="n">
        <v>1000</v>
      </c>
      <c r="E13" s="8" t="n">
        <v>0.0056</v>
      </c>
      <c r="F13" s="8" t="n">
        <v>0.0051</v>
      </c>
      <c r="G13" s="9">
        <f>ROUND(E13*POWER($C$6/$C$4,LN(F13/E13)/LN($C$5/$C$4)),4)</f>
        <v/>
      </c>
      <c r="H13" s="9">
        <f>ROUND(E13+(F13-E13)*($C$6-$C$4)/($C$5-$C$4),4)</f>
        <v/>
      </c>
      <c r="I13" s="10">
        <f>ROUND($C$6*G13,0)</f>
        <v/>
      </c>
      <c r="J13" s="10">
        <f>ROUND($C$6*H13,0)</f>
        <v/>
      </c>
    </row>
    <row r="14">
      <c r="A14" s="11" t="inlineStr">
        <is>
          <t>SY Kasko</t>
        </is>
      </c>
      <c r="B14" s="11" t="inlineStr">
        <is>
          <t>Mittelmeer</t>
        </is>
      </c>
      <c r="C14" s="11" t="inlineStr">
        <is>
          <t>Komfort</t>
        </is>
      </c>
      <c r="D14" s="12" t="n">
        <v>1000</v>
      </c>
      <c r="E14" s="13" t="n">
        <v>0.008</v>
      </c>
      <c r="F14" s="13" t="n">
        <v>0.0051</v>
      </c>
      <c r="G14" s="14">
        <f>ROUND(E14*POWER($C$6/$C$4,LN(F14/E14)/LN($C$5/$C$4)),4)</f>
        <v/>
      </c>
      <c r="H14" s="14">
        <f>ROUND(E14+(F14-E14)*($C$6-$C$4)/($C$5-$C$4),4)</f>
        <v/>
      </c>
      <c r="I14" s="15">
        <f>ROUND($C$6*G14,0)</f>
        <v/>
      </c>
      <c r="J14" s="15">
        <f>ROUND($C$6*H14,0)</f>
        <v/>
      </c>
    </row>
    <row r="15">
      <c r="A15" s="6" t="inlineStr">
        <is>
          <t>SY Kasko</t>
        </is>
      </c>
      <c r="B15" s="6" t="inlineStr">
        <is>
          <t>Mittelmeer</t>
        </is>
      </c>
      <c r="C15" s="6" t="inlineStr">
        <is>
          <t>Komfort</t>
        </is>
      </c>
      <c r="D15" s="7" t="n">
        <v>2500</v>
      </c>
      <c r="E15" s="8" t="n">
        <v>0.007</v>
      </c>
      <c r="F15" s="8" t="n">
        <v>0.0046</v>
      </c>
      <c r="G15" s="9">
        <f>ROUND(E15*POWER($C$6/$C$4,LN(F15/E15)/LN($C$5/$C$4)),4)</f>
        <v/>
      </c>
      <c r="H15" s="9">
        <f>ROUND(E15+(F15-E15)*($C$6-$C$4)/($C$5-$C$4),4)</f>
        <v/>
      </c>
      <c r="I15" s="10">
        <f>ROUND($C$6*G15,0)</f>
        <v/>
      </c>
      <c r="J15" s="10">
        <f>ROUND($C$6*H15,0)</f>
        <v/>
      </c>
    </row>
    <row r="16">
      <c r="A16" s="11" t="inlineStr">
        <is>
          <t>SY Kasko</t>
        </is>
      </c>
      <c r="B16" s="11" t="inlineStr">
        <is>
          <t>Mittelmeer</t>
        </is>
      </c>
      <c r="C16" s="11" t="inlineStr">
        <is>
          <t>Komfort</t>
        </is>
      </c>
      <c r="D16" s="12" t="n">
        <v>5000</v>
      </c>
      <c r="E16" s="13" t="n">
        <v>0.006</v>
      </c>
      <c r="F16" s="13" t="n">
        <v>0.0041</v>
      </c>
      <c r="G16" s="14">
        <f>ROUND(E16*POWER($C$6/$C$4,LN(F16/E16)/LN($C$5/$C$4)),4)</f>
        <v/>
      </c>
      <c r="H16" s="14">
        <f>ROUND(E16+(F16-E16)*($C$6-$C$4)/($C$5-$C$4),4)</f>
        <v/>
      </c>
      <c r="I16" s="15">
        <f>ROUND($C$6*G16,0)</f>
        <v/>
      </c>
      <c r="J16" s="15">
        <f>ROUND($C$6*H16,0)</f>
        <v/>
      </c>
    </row>
    <row r="17">
      <c r="A17" s="6" t="inlineStr">
        <is>
          <t>SY Kasko</t>
        </is>
      </c>
      <c r="B17" s="6" t="inlineStr">
        <is>
          <t>Mittelmeer</t>
        </is>
      </c>
      <c r="C17" s="6" t="inlineStr">
        <is>
          <t>Sport</t>
        </is>
      </c>
      <c r="D17" s="7" t="n">
        <v>1000</v>
      </c>
      <c r="E17" s="8" t="n">
        <v>0.0083</v>
      </c>
      <c r="F17" s="8" t="n">
        <v>0.0066</v>
      </c>
      <c r="G17" s="9">
        <f>ROUND(E17*POWER($C$6/$C$4,LN(F17/E17)/LN($C$5/$C$4)),4)</f>
        <v/>
      </c>
      <c r="H17" s="9">
        <f>ROUND(E17+(F17-E17)*($C$6-$C$4)/($C$5-$C$4),4)</f>
        <v/>
      </c>
      <c r="I17" s="10">
        <f>ROUND($C$6*G17,0)</f>
        <v/>
      </c>
      <c r="J17" s="10">
        <f>ROUND($C$6*H17,0)</f>
        <v/>
      </c>
    </row>
    <row r="18">
      <c r="A18" s="11" t="inlineStr">
        <is>
          <t>SY Kasko</t>
        </is>
      </c>
      <c r="B18" s="11" t="inlineStr">
        <is>
          <t>Mittelmeer</t>
        </is>
      </c>
      <c r="C18" s="11" t="inlineStr">
        <is>
          <t>Sport</t>
        </is>
      </c>
      <c r="D18" s="12" t="n">
        <v>2500</v>
      </c>
      <c r="E18" s="13" t="n">
        <v>0.0074</v>
      </c>
      <c r="F18" s="13" t="n">
        <v>0.006</v>
      </c>
      <c r="G18" s="14">
        <f>ROUND(E18*POWER($C$6/$C$4,LN(F18/E18)/LN($C$5/$C$4)),4)</f>
        <v/>
      </c>
      <c r="H18" s="14">
        <f>ROUND(E18+(F18-E18)*($C$6-$C$4)/($C$5-$C$4),4)</f>
        <v/>
      </c>
      <c r="I18" s="15">
        <f>ROUND($C$6*G18,0)</f>
        <v/>
      </c>
      <c r="J18" s="15">
        <f>ROUND($C$6*H18,0)</f>
        <v/>
      </c>
    </row>
    <row r="19">
      <c r="A19" s="6" t="inlineStr">
        <is>
          <t>SY Kasko</t>
        </is>
      </c>
      <c r="B19" s="6" t="inlineStr">
        <is>
          <t>Mittelmeer</t>
        </is>
      </c>
      <c r="C19" s="6" t="inlineStr">
        <is>
          <t>Sport</t>
        </is>
      </c>
      <c r="D19" s="7" t="n">
        <v>5000</v>
      </c>
      <c r="E19" s="8" t="n">
        <v>0.0065</v>
      </c>
      <c r="F19" s="8" t="n">
        <v>0.0053</v>
      </c>
      <c r="G19" s="9">
        <f>ROUND(E19*POWER($C$6/$C$4,LN(F19/E19)/LN($C$5/$C$4)),4)</f>
        <v/>
      </c>
      <c r="H19" s="9">
        <f>ROUND(E19+(F19-E19)*($C$6-$C$4)/($C$5-$C$4),4)</f>
        <v/>
      </c>
      <c r="I19" s="10">
        <f>ROUND($C$6*G19,0)</f>
        <v/>
      </c>
      <c r="J19" s="10">
        <f>ROUND($C$6*H19,0)</f>
        <v/>
      </c>
    </row>
    <row r="20">
      <c r="A20" s="11" t="inlineStr">
        <is>
          <t>MY Kasko</t>
        </is>
      </c>
      <c r="B20" s="11" t="inlineStr">
        <is>
          <t>Binnen</t>
        </is>
      </c>
      <c r="C20" s="11" t="inlineStr">
        <is>
          <t>Verdränger</t>
        </is>
      </c>
      <c r="D20" s="12" t="n">
        <v>1000</v>
      </c>
      <c r="E20" s="13" t="n">
        <v>0.0083</v>
      </c>
      <c r="F20" s="13" t="n">
        <v>0.006</v>
      </c>
      <c r="G20" s="14">
        <f>ROUND(E20*POWER($C$6/$C$4,LN(F20/E20)/LN($C$5/$C$4)),4)</f>
        <v/>
      </c>
      <c r="H20" s="14">
        <f>ROUND(E20+(F20-E20)*($C$6-$C$4)/($C$5-$C$4),4)</f>
        <v/>
      </c>
      <c r="I20" s="15">
        <f>ROUND($C$6*G20,0)</f>
        <v/>
      </c>
      <c r="J20" s="15">
        <f>ROUND($C$6*H20,0)</f>
        <v/>
      </c>
    </row>
    <row r="21">
      <c r="A21" s="6" t="inlineStr">
        <is>
          <t>MY Kasko</t>
        </is>
      </c>
      <c r="B21" s="6" t="inlineStr">
        <is>
          <t>Binnen</t>
        </is>
      </c>
      <c r="C21" s="6" t="inlineStr">
        <is>
          <t>Verdränger</t>
        </is>
      </c>
      <c r="D21" s="7" t="n">
        <v>2500</v>
      </c>
      <c r="E21" s="8" t="n">
        <v>0.0075</v>
      </c>
      <c r="F21" s="8" t="n">
        <v>0.0051</v>
      </c>
      <c r="G21" s="9">
        <f>ROUND(E21*POWER($C$6/$C$4,LN(F21/E21)/LN($C$5/$C$4)),4)</f>
        <v/>
      </c>
      <c r="H21" s="9">
        <f>ROUND(E21+(F21-E21)*($C$6-$C$4)/($C$5-$C$4),4)</f>
        <v/>
      </c>
      <c r="I21" s="10">
        <f>ROUND($C$6*G21,0)</f>
        <v/>
      </c>
      <c r="J21" s="10">
        <f>ROUND($C$6*H21,0)</f>
        <v/>
      </c>
    </row>
    <row r="22">
      <c r="A22" s="11" t="inlineStr">
        <is>
          <t>MY Kasko</t>
        </is>
      </c>
      <c r="B22" s="11" t="inlineStr">
        <is>
          <t>Binnen</t>
        </is>
      </c>
      <c r="C22" s="11" t="inlineStr">
        <is>
          <t>Verdränger</t>
        </is>
      </c>
      <c r="D22" s="12" t="n">
        <v>5000</v>
      </c>
      <c r="E22" s="13" t="n">
        <v>0.0068</v>
      </c>
      <c r="F22" s="13" t="n">
        <v>0.0046</v>
      </c>
      <c r="G22" s="14">
        <f>ROUND(E22*POWER($C$6/$C$4,LN(F22/E22)/LN($C$5/$C$4)),4)</f>
        <v/>
      </c>
      <c r="H22" s="14">
        <f>ROUND(E22+(F22-E22)*($C$6-$C$4)/($C$5-$C$4),4)</f>
        <v/>
      </c>
      <c r="I22" s="15">
        <f>ROUND($C$6*G22,0)</f>
        <v/>
      </c>
      <c r="J22" s="15">
        <f>ROUND($C$6*H22,0)</f>
        <v/>
      </c>
    </row>
    <row r="23">
      <c r="A23" s="6" t="inlineStr">
        <is>
          <t>MY Kasko</t>
        </is>
      </c>
      <c r="B23" s="6" t="inlineStr">
        <is>
          <t>Binnen</t>
        </is>
      </c>
      <c r="C23" s="6" t="inlineStr">
        <is>
          <t>Gleiter</t>
        </is>
      </c>
      <c r="D23" s="7" t="n">
        <v>1000</v>
      </c>
      <c r="E23" s="8" t="n">
        <v>0.008699999999999999</v>
      </c>
      <c r="F23" s="8" t="n">
        <v>0.0074</v>
      </c>
      <c r="G23" s="9">
        <f>ROUND(E23*POWER($C$6/$C$4,LN(F23/E23)/LN($C$5/$C$4)),4)</f>
        <v/>
      </c>
      <c r="H23" s="9">
        <f>ROUND(E23+(F23-E23)*($C$6-$C$4)/($C$5-$C$4),4)</f>
        <v/>
      </c>
      <c r="I23" s="10">
        <f>ROUND($C$6*G23,0)</f>
        <v/>
      </c>
      <c r="J23" s="10">
        <f>ROUND($C$6*H23,0)</f>
        <v/>
      </c>
    </row>
    <row r="24">
      <c r="A24" s="11" t="inlineStr">
        <is>
          <t>MY Kasko</t>
        </is>
      </c>
      <c r="B24" s="11" t="inlineStr">
        <is>
          <t>Binnen</t>
        </is>
      </c>
      <c r="C24" s="11" t="inlineStr">
        <is>
          <t>Gleiter</t>
        </is>
      </c>
      <c r="D24" s="12" t="n">
        <v>2500</v>
      </c>
      <c r="E24" s="13" t="n">
        <v>0.008</v>
      </c>
      <c r="F24" s="13" t="n">
        <v>0.0068</v>
      </c>
      <c r="G24" s="14">
        <f>ROUND(E24*POWER($C$6/$C$4,LN(F24/E24)/LN($C$5/$C$4)),4)</f>
        <v/>
      </c>
      <c r="H24" s="14">
        <f>ROUND(E24+(F24-E24)*($C$6-$C$4)/($C$5-$C$4),4)</f>
        <v/>
      </c>
      <c r="I24" s="15">
        <f>ROUND($C$6*G24,0)</f>
        <v/>
      </c>
      <c r="J24" s="15">
        <f>ROUND($C$6*H24,0)</f>
        <v/>
      </c>
    </row>
    <row r="25">
      <c r="A25" s="6" t="inlineStr">
        <is>
          <t>MY Kasko</t>
        </is>
      </c>
      <c r="B25" s="6" t="inlineStr">
        <is>
          <t>Binnen</t>
        </is>
      </c>
      <c r="C25" s="6" t="inlineStr">
        <is>
          <t>Gleiter</t>
        </is>
      </c>
      <c r="D25" s="7" t="n">
        <v>5000</v>
      </c>
      <c r="E25" s="8" t="n">
        <v>0.007299999999999999</v>
      </c>
      <c r="F25" s="8" t="n">
        <v>0.006399999999999999</v>
      </c>
      <c r="G25" s="9">
        <f>ROUND(E25*POWER($C$6/$C$4,LN(F25/E25)/LN($C$5/$C$4)),4)</f>
        <v/>
      </c>
      <c r="H25" s="9">
        <f>ROUND(E25+(F25-E25)*($C$6-$C$4)/($C$5-$C$4),4)</f>
        <v/>
      </c>
      <c r="I25" s="10">
        <f>ROUND($C$6*G25,0)</f>
        <v/>
      </c>
      <c r="J25" s="10">
        <f>ROUND($C$6*H25,0)</f>
        <v/>
      </c>
    </row>
    <row r="26">
      <c r="A26" s="11" t="inlineStr">
        <is>
          <t>MY Kasko</t>
        </is>
      </c>
      <c r="B26" s="11" t="inlineStr">
        <is>
          <t>Mittelmeer</t>
        </is>
      </c>
      <c r="C26" s="11" t="inlineStr">
        <is>
          <t>Verdränger</t>
        </is>
      </c>
      <c r="D26" s="12" t="n">
        <v>1000</v>
      </c>
      <c r="E26" s="13" t="n">
        <v>0.008800000000000001</v>
      </c>
      <c r="F26" s="13" t="n">
        <v>0.0065</v>
      </c>
      <c r="G26" s="14">
        <f>ROUND(E26*POWER($C$6/$C$4,LN(F26/E26)/LN($C$5/$C$4)),4)</f>
        <v/>
      </c>
      <c r="H26" s="14">
        <f>ROUND(E26+(F26-E26)*($C$6-$C$4)/($C$5-$C$4),4)</f>
        <v/>
      </c>
      <c r="I26" s="15">
        <f>ROUND($C$6*G26,0)</f>
        <v/>
      </c>
      <c r="J26" s="15">
        <f>ROUND($C$6*H26,0)</f>
        <v/>
      </c>
    </row>
    <row r="27">
      <c r="A27" s="6" t="inlineStr">
        <is>
          <t>MY Kasko</t>
        </is>
      </c>
      <c r="B27" s="6" t="inlineStr">
        <is>
          <t>Mittelmeer</t>
        </is>
      </c>
      <c r="C27" s="6" t="inlineStr">
        <is>
          <t>Verdränger</t>
        </is>
      </c>
      <c r="D27" s="7" t="n">
        <v>2500</v>
      </c>
      <c r="E27" s="8" t="n">
        <v>0.008</v>
      </c>
      <c r="F27" s="8" t="n">
        <v>0.0056</v>
      </c>
      <c r="G27" s="9">
        <f>ROUND(E27*POWER($C$6/$C$4,LN(F27/E27)/LN($C$5/$C$4)),4)</f>
        <v/>
      </c>
      <c r="H27" s="9">
        <f>ROUND(E27+(F27-E27)*($C$6-$C$4)/($C$5-$C$4),4)</f>
        <v/>
      </c>
      <c r="I27" s="10">
        <f>ROUND($C$6*G27,0)</f>
        <v/>
      </c>
      <c r="J27" s="10">
        <f>ROUND($C$6*H27,0)</f>
        <v/>
      </c>
    </row>
    <row r="28">
      <c r="A28" s="11" t="inlineStr">
        <is>
          <t>MY Kasko</t>
        </is>
      </c>
      <c r="B28" s="11" t="inlineStr">
        <is>
          <t>Mittelmeer</t>
        </is>
      </c>
      <c r="C28" s="11" t="inlineStr">
        <is>
          <t>Verdränger</t>
        </is>
      </c>
      <c r="D28" s="12" t="n">
        <v>5000</v>
      </c>
      <c r="E28" s="13" t="n">
        <v>0.0073</v>
      </c>
      <c r="F28" s="13" t="n">
        <v>0.0051</v>
      </c>
      <c r="G28" s="14">
        <f>ROUND(E28*POWER($C$6/$C$4,LN(F28/E28)/LN($C$5/$C$4)),4)</f>
        <v/>
      </c>
      <c r="H28" s="14">
        <f>ROUND(E28+(F28-E28)*($C$6-$C$4)/($C$5-$C$4),4)</f>
        <v/>
      </c>
      <c r="I28" s="15">
        <f>ROUND($C$6*G28,0)</f>
        <v/>
      </c>
      <c r="J28" s="15">
        <f>ROUND($C$6*H28,0)</f>
        <v/>
      </c>
    </row>
    <row r="29">
      <c r="A29" s="6" t="inlineStr">
        <is>
          <t>MY Kasko</t>
        </is>
      </c>
      <c r="B29" s="6" t="inlineStr">
        <is>
          <t>Mittelmeer</t>
        </is>
      </c>
      <c r="C29" s="6" t="inlineStr">
        <is>
          <t>Gleiter</t>
        </is>
      </c>
      <c r="D29" s="7" t="n">
        <v>1000</v>
      </c>
      <c r="E29" s="8" t="n">
        <v>0.0092</v>
      </c>
      <c r="F29" s="8" t="n">
        <v>0.007900000000000001</v>
      </c>
      <c r="G29" s="9">
        <f>ROUND(E29*POWER($C$6/$C$4,LN(F29/E29)/LN($C$5/$C$4)),4)</f>
        <v/>
      </c>
      <c r="H29" s="9">
        <f>ROUND(E29+(F29-E29)*($C$6-$C$4)/($C$5-$C$4),4)</f>
        <v/>
      </c>
      <c r="I29" s="10">
        <f>ROUND($C$6*G29,0)</f>
        <v/>
      </c>
      <c r="J29" s="10">
        <f>ROUND($C$6*H29,0)</f>
        <v/>
      </c>
    </row>
    <row r="30">
      <c r="A30" s="11" t="inlineStr">
        <is>
          <t>MY Kasko</t>
        </is>
      </c>
      <c r="B30" s="11" t="inlineStr">
        <is>
          <t>Mittelmeer</t>
        </is>
      </c>
      <c r="C30" s="11" t="inlineStr">
        <is>
          <t>Gleiter</t>
        </is>
      </c>
      <c r="D30" s="12" t="n">
        <v>2500</v>
      </c>
      <c r="E30" s="13" t="n">
        <v>0.008500000000000001</v>
      </c>
      <c r="F30" s="13" t="n">
        <v>0.0073</v>
      </c>
      <c r="G30" s="14">
        <f>ROUND(E30*POWER($C$6/$C$4,LN(F30/E30)/LN($C$5/$C$4)),4)</f>
        <v/>
      </c>
      <c r="H30" s="14">
        <f>ROUND(E30+(F30-E30)*($C$6-$C$4)/($C$5-$C$4),4)</f>
        <v/>
      </c>
      <c r="I30" s="15">
        <f>ROUND($C$6*G30,0)</f>
        <v/>
      </c>
      <c r="J30" s="15">
        <f>ROUND($C$6*H30,0)</f>
        <v/>
      </c>
    </row>
    <row r="31">
      <c r="A31" s="6" t="inlineStr">
        <is>
          <t>MY Kasko</t>
        </is>
      </c>
      <c r="B31" s="6" t="inlineStr">
        <is>
          <t>Mittelmeer</t>
        </is>
      </c>
      <c r="C31" s="6" t="inlineStr">
        <is>
          <t>Gleiter</t>
        </is>
      </c>
      <c r="D31" s="7" t="n">
        <v>5000</v>
      </c>
      <c r="E31" s="8" t="n">
        <v>0.0078</v>
      </c>
      <c r="F31" s="8" t="n">
        <v>0.0069</v>
      </c>
      <c r="G31" s="9">
        <f>ROUND(E31*POWER($C$6/$C$4,LN(F31/E31)/LN($C$5/$C$4)),4)</f>
        <v/>
      </c>
      <c r="H31" s="9">
        <f>ROUND(E31+(F31-E31)*($C$6-$C$4)/($C$5-$C$4),4)</f>
        <v/>
      </c>
      <c r="I31" s="10">
        <f>ROUND($C$6*G31,0)</f>
        <v/>
      </c>
      <c r="J31" s="10">
        <f>ROUND($C$6*H31,0)</f>
        <v/>
      </c>
    </row>
    <row r="33">
      <c r="A33" s="2" t="inlineStr">
        <is>
          <t>Grün = unverändert aus dem Entwurfstarif übernommen.  Fett = berechnet.</t>
        </is>
      </c>
    </row>
    <row r="34">
      <c r="A34" s="16" t="inlineStr">
        <is>
          <t>Empfehlung: geometrisch. Die Sätze fallen im unteren Bereich steil und laufen oberhalb von 170.000 fast flach — eine proportionale Interpolation trifft diesen Verlauf besser als eine lineare.</t>
        </is>
      </c>
    </row>
    <row r="35"/>
  </sheetData>
  <mergeCells count="4">
    <mergeCell ref="A34:J35"/>
    <mergeCell ref="D4:J4"/>
    <mergeCell ref="D5:J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1" customWidth="1" min="4" max="4"/>
    <col width="14" customWidth="1" min="5" max="5"/>
    <col width="16" customWidth="1" min="6" max="6"/>
  </cols>
  <sheetData>
    <row r="1">
      <c r="A1" s="1" t="inlineStr">
        <is>
          <t>Kombinationen ohne Interpolationsgrundlage</t>
        </is>
      </c>
    </row>
    <row r="2">
      <c r="A2" s="2" t="inlineStr">
        <is>
          <t>Hier fehlt mindestens einer der beiden Ankerwerte. Diese Zellen sind im Entwurfstarif leer — vermutlich, weil die Kombination nicht angeboten wird. Das ist zu bestätigen, nicht zu interpolieren.</t>
        </is>
      </c>
    </row>
    <row r="4">
      <c r="A4" s="17" t="inlineStr">
        <is>
          <t>Blatt</t>
        </is>
      </c>
      <c r="B4" s="17" t="inlineStr">
        <is>
          <t>Revier</t>
        </is>
      </c>
      <c r="C4" s="17" t="inlineStr">
        <is>
          <t>Bauart</t>
        </is>
      </c>
      <c r="D4" s="17" t="inlineStr">
        <is>
          <t>Selbstbehalt</t>
        </is>
      </c>
      <c r="E4" s="17" t="inlineStr">
        <is>
          <t>Satz &lt; 70.000</t>
        </is>
      </c>
      <c r="F4" s="17" t="inlineStr">
        <is>
          <t>Satz 170.000–300.000</t>
        </is>
      </c>
    </row>
    <row r="5">
      <c r="A5" s="6" t="inlineStr">
        <is>
          <t>SY Kasko</t>
        </is>
      </c>
      <c r="B5" s="6" t="inlineStr">
        <is>
          <t>Binnen</t>
        </is>
      </c>
      <c r="C5" s="6" t="inlineStr">
        <is>
          <t>Komfort</t>
        </is>
      </c>
      <c r="D5" s="18" t="n">
        <v>5000</v>
      </c>
      <c r="E5" s="18" t="inlineStr">
        <is>
          <t>—</t>
        </is>
      </c>
      <c r="F5" s="18" t="inlineStr">
        <is>
          <t>—</t>
        </is>
      </c>
    </row>
    <row r="6">
      <c r="A6" s="6" t="inlineStr">
        <is>
          <t>SY Kasko</t>
        </is>
      </c>
      <c r="B6" s="6" t="inlineStr">
        <is>
          <t>Binnen</t>
        </is>
      </c>
      <c r="C6" s="6" t="inlineStr">
        <is>
          <t>Sport</t>
        </is>
      </c>
      <c r="D6" s="18" t="n">
        <v>2500</v>
      </c>
      <c r="E6" s="18" t="inlineStr">
        <is>
          <t>—</t>
        </is>
      </c>
      <c r="F6" s="19" t="n">
        <v>0.0046</v>
      </c>
    </row>
    <row r="7">
      <c r="A7" s="6" t="inlineStr">
        <is>
          <t>SY Kasko</t>
        </is>
      </c>
      <c r="B7" s="6" t="inlineStr">
        <is>
          <t>Binnen</t>
        </is>
      </c>
      <c r="C7" s="6" t="inlineStr">
        <is>
          <t>Sport</t>
        </is>
      </c>
      <c r="D7" s="18" t="n">
        <v>5000</v>
      </c>
      <c r="E7" s="18" t="inlineStr">
        <is>
          <t>—</t>
        </is>
      </c>
      <c r="F7" s="18" t="inlineStr">
        <is>
          <t>—</t>
        </is>
      </c>
    </row>
    <row r="8">
      <c r="A8" s="6" t="inlineStr">
        <is>
          <t>SY Kasko</t>
        </is>
      </c>
      <c r="B8" s="6" t="inlineStr">
        <is>
          <t>Mittelmeer</t>
        </is>
      </c>
      <c r="C8" s="6" t="inlineStr">
        <is>
          <t>Komfort</t>
        </is>
      </c>
      <c r="D8" s="18" t="n">
        <v>7500</v>
      </c>
      <c r="E8" s="18" t="inlineStr">
        <is>
          <t>—</t>
        </is>
      </c>
      <c r="F8" s="18" t="inlineStr">
        <is>
          <t>—</t>
        </is>
      </c>
    </row>
    <row r="9">
      <c r="A9" s="6" t="inlineStr">
        <is>
          <t>SY Kasko</t>
        </is>
      </c>
      <c r="B9" s="6" t="inlineStr">
        <is>
          <t>Mittelmeer</t>
        </is>
      </c>
      <c r="C9" s="6" t="inlineStr">
        <is>
          <t>Sport</t>
        </is>
      </c>
      <c r="D9" s="18" t="n">
        <v>7500</v>
      </c>
      <c r="E9" s="18" t="inlineStr">
        <is>
          <t>—</t>
        </is>
      </c>
      <c r="F9" s="18" t="inlineStr">
        <is>
          <t>—</t>
        </is>
      </c>
    </row>
    <row r="10">
      <c r="A10" s="6" t="inlineStr">
        <is>
          <t>MY Kasko</t>
        </is>
      </c>
      <c r="B10" s="6" t="inlineStr">
        <is>
          <t>Binnen</t>
        </is>
      </c>
      <c r="C10" s="6" t="inlineStr">
        <is>
          <t>Verdränger</t>
        </is>
      </c>
      <c r="D10" s="18" t="n">
        <v>7500</v>
      </c>
      <c r="E10" s="18" t="inlineStr">
        <is>
          <t>—</t>
        </is>
      </c>
      <c r="F10" s="18" t="inlineStr">
        <is>
          <t>—</t>
        </is>
      </c>
    </row>
    <row r="11">
      <c r="A11" s="6" t="inlineStr">
        <is>
          <t>MY Kasko</t>
        </is>
      </c>
      <c r="B11" s="6" t="inlineStr">
        <is>
          <t>Binnen</t>
        </is>
      </c>
      <c r="C11" s="6" t="inlineStr">
        <is>
          <t>Verdränger</t>
        </is>
      </c>
      <c r="D11" s="18" t="n">
        <v>10000</v>
      </c>
      <c r="E11" s="18" t="inlineStr">
        <is>
          <t>—</t>
        </is>
      </c>
      <c r="F11" s="18" t="inlineStr">
        <is>
          <t>—</t>
        </is>
      </c>
    </row>
    <row r="12">
      <c r="A12" s="6" t="inlineStr">
        <is>
          <t>MY Kasko</t>
        </is>
      </c>
      <c r="B12" s="6" t="inlineStr">
        <is>
          <t>Binnen</t>
        </is>
      </c>
      <c r="C12" s="6" t="inlineStr">
        <is>
          <t>Gleiter</t>
        </is>
      </c>
      <c r="D12" s="18" t="n">
        <v>7500</v>
      </c>
      <c r="E12" s="18" t="inlineStr">
        <is>
          <t>—</t>
        </is>
      </c>
      <c r="F12" s="19" t="n">
        <v>0.0058</v>
      </c>
    </row>
    <row r="13">
      <c r="A13" s="6" t="inlineStr">
        <is>
          <t>MY Kasko</t>
        </is>
      </c>
      <c r="B13" s="6" t="inlineStr">
        <is>
          <t>Binnen</t>
        </is>
      </c>
      <c r="C13" s="6" t="inlineStr">
        <is>
          <t>Gleiter</t>
        </is>
      </c>
      <c r="D13" s="18" t="n">
        <v>10000</v>
      </c>
      <c r="E13" s="18" t="inlineStr">
        <is>
          <t>—</t>
        </is>
      </c>
      <c r="F13" s="18" t="inlineStr">
        <is>
          <t>—</t>
        </is>
      </c>
    </row>
    <row r="14">
      <c r="A14" s="6" t="inlineStr">
        <is>
          <t>MY Kasko</t>
        </is>
      </c>
      <c r="B14" s="6" t="inlineStr">
        <is>
          <t>Mittelmeer</t>
        </is>
      </c>
      <c r="C14" s="6" t="inlineStr">
        <is>
          <t>Verdränger</t>
        </is>
      </c>
      <c r="D14" s="18" t="n">
        <v>7500</v>
      </c>
      <c r="E14" s="18" t="inlineStr">
        <is>
          <t>—</t>
        </is>
      </c>
      <c r="F14" s="18" t="inlineStr">
        <is>
          <t>—</t>
        </is>
      </c>
    </row>
    <row r="15">
      <c r="A15" s="6" t="inlineStr">
        <is>
          <t>MY Kasko</t>
        </is>
      </c>
      <c r="B15" s="6" t="inlineStr">
        <is>
          <t>Mittelmeer</t>
        </is>
      </c>
      <c r="C15" s="6" t="inlineStr">
        <is>
          <t>Verdränger</t>
        </is>
      </c>
      <c r="D15" s="18" t="n">
        <v>10000</v>
      </c>
      <c r="E15" s="18" t="inlineStr">
        <is>
          <t>—</t>
        </is>
      </c>
      <c r="F15" s="18" t="inlineStr">
        <is>
          <t>—</t>
        </is>
      </c>
    </row>
    <row r="16">
      <c r="A16" s="6" t="inlineStr">
        <is>
          <t>MY Kasko</t>
        </is>
      </c>
      <c r="B16" s="6" t="inlineStr">
        <is>
          <t>Mittelmeer</t>
        </is>
      </c>
      <c r="C16" s="6" t="inlineStr">
        <is>
          <t>Gleiter</t>
        </is>
      </c>
      <c r="D16" s="18" t="n">
        <v>7500</v>
      </c>
      <c r="E16" s="18" t="inlineStr">
        <is>
          <t>—</t>
        </is>
      </c>
      <c r="F16" s="19" t="n">
        <v>0.0063</v>
      </c>
    </row>
    <row r="17">
      <c r="A17" s="6" t="inlineStr">
        <is>
          <t>MY Kasko</t>
        </is>
      </c>
      <c r="B17" s="6" t="inlineStr">
        <is>
          <t>Mittelmeer</t>
        </is>
      </c>
      <c r="C17" s="6" t="inlineStr">
        <is>
          <t>Gleiter</t>
        </is>
      </c>
      <c r="D17" s="18" t="n">
        <v>10000</v>
      </c>
      <c r="E17" s="18" t="inlineStr">
        <is>
          <t>—</t>
        </is>
      </c>
      <c r="F17" s="18" t="inlineStr">
        <is>
          <t>—</t>
        </is>
      </c>
    </row>
    <row r="19">
      <c r="A19" s="16" t="inlineStr">
        <is>
          <t>Drei dieser Zeilen haben einen oberen, aber keinen unteren Wert. Dort ist zu klären, ob der Selbstbehalt unterhalb von 170.000 bewusst nicht angeboten wird — dann gehört ein „nicht angeboten“ in die Zelle, kein leeres Feld.</t>
        </is>
      </c>
    </row>
    <row r="20"/>
  </sheetData>
  <mergeCells count="2">
    <mergeCell ref="A2:F2"/>
    <mergeCell ref="A19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2026-08-22T05:08:18Z</dcterms:created>
  <dcterms:modified xsi:type="dcterms:W3CDTF">2026-08-22T05:08:18Z</dcterms:modified>
</cp:coreProperties>
</file>